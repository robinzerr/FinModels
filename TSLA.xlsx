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r\Desktop\FinModels\"/>
    </mc:Choice>
  </mc:AlternateContent>
  <xr:revisionPtr revIDLastSave="0" documentId="13_ncr:1_{14379E47-34E8-4F58-886E-7C49158ABD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in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R47" i="2"/>
  <c r="AH31" i="2"/>
  <c r="AH27" i="2"/>
  <c r="AH22" i="2"/>
  <c r="X12" i="2"/>
  <c r="W12" i="2"/>
  <c r="V12" i="2"/>
  <c r="U12" i="2"/>
  <c r="Y12" i="2" s="1"/>
  <c r="AG31" i="2"/>
  <c r="AG27" i="2"/>
  <c r="AG22" i="2"/>
  <c r="AF31" i="2"/>
  <c r="AF27" i="2"/>
  <c r="AF22" i="2"/>
  <c r="AF12" i="2"/>
  <c r="AE12" i="2"/>
  <c r="U26" i="2"/>
  <c r="U25" i="2"/>
  <c r="U10" i="2"/>
  <c r="T50" i="2"/>
  <c r="S50" i="2"/>
  <c r="R50" i="2"/>
  <c r="Q50" i="2"/>
  <c r="U50" i="2" s="1"/>
  <c r="V50" i="2" s="1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T48" i="2"/>
  <c r="S48" i="2"/>
  <c r="R48" i="2"/>
  <c r="Q48" i="2"/>
  <c r="U48" i="2" s="1"/>
  <c r="V48" i="2" s="1"/>
  <c r="W48" i="2" s="1"/>
  <c r="X48" i="2" s="1"/>
  <c r="Y48" i="2" s="1"/>
  <c r="Z48" i="2" s="1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T49" i="2"/>
  <c r="S49" i="2"/>
  <c r="R49" i="2"/>
  <c r="Q49" i="2"/>
  <c r="U49" i="2" s="1"/>
  <c r="V49" i="2" s="1"/>
  <c r="W49" i="2" s="1"/>
  <c r="X49" i="2" s="1"/>
  <c r="Y49" i="2" s="1"/>
  <c r="Z49" i="2" s="1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T47" i="2"/>
  <c r="S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X9" i="2"/>
  <c r="W9" i="2"/>
  <c r="V9" i="2"/>
  <c r="U9" i="2"/>
  <c r="AF9" i="2" s="1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U45" i="2"/>
  <c r="Y45" i="2" s="1"/>
  <c r="X45" i="2"/>
  <c r="W45" i="2"/>
  <c r="V45" i="2"/>
  <c r="X5" i="2"/>
  <c r="X11" i="2" s="1"/>
  <c r="W5" i="2"/>
  <c r="W11" i="2" s="1"/>
  <c r="V5" i="2"/>
  <c r="U5" i="2"/>
  <c r="T44" i="2"/>
  <c r="X44" i="2" s="1"/>
  <c r="X8" i="2" s="1"/>
  <c r="S44" i="2"/>
  <c r="W44" i="2" s="1"/>
  <c r="W8" i="2" s="1"/>
  <c r="R44" i="2"/>
  <c r="V44" i="2" s="1"/>
  <c r="Q44" i="2"/>
  <c r="U44" i="2" s="1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E31" i="2"/>
  <c r="AE29" i="2"/>
  <c r="AE27" i="2"/>
  <c r="AE26" i="2"/>
  <c r="AE25" i="2"/>
  <c r="AE22" i="2"/>
  <c r="AE21" i="2"/>
  <c r="AE20" i="2"/>
  <c r="AE17" i="2"/>
  <c r="AE16" i="2"/>
  <c r="AE15" i="2"/>
  <c r="AE14" i="2"/>
  <c r="AE11" i="2"/>
  <c r="AE10" i="2"/>
  <c r="AE9" i="2"/>
  <c r="AE8" i="2"/>
  <c r="AD31" i="2"/>
  <c r="AD29" i="2"/>
  <c r="AD27" i="2"/>
  <c r="AD26" i="2"/>
  <c r="AD25" i="2"/>
  <c r="AD22" i="2"/>
  <c r="AD21" i="2"/>
  <c r="AD20" i="2"/>
  <c r="AD17" i="2"/>
  <c r="AD16" i="2"/>
  <c r="AD15" i="2"/>
  <c r="AD14" i="2"/>
  <c r="AD12" i="2"/>
  <c r="AD11" i="2"/>
  <c r="AD10" i="2"/>
  <c r="AD9" i="2"/>
  <c r="AD48" i="2" s="1"/>
  <c r="AD8" i="2"/>
  <c r="AD36" i="2"/>
  <c r="AD34" i="2"/>
  <c r="T57" i="2"/>
  <c r="AC34" i="2"/>
  <c r="AE34" i="2"/>
  <c r="AC36" i="2"/>
  <c r="AE36" i="2"/>
  <c r="C36" i="2"/>
  <c r="D36" i="2"/>
  <c r="D34" i="2"/>
  <c r="C34" i="2"/>
  <c r="AB34" i="2" s="1"/>
  <c r="AC31" i="2"/>
  <c r="AC29" i="2"/>
  <c r="AC27" i="2"/>
  <c r="AC26" i="2"/>
  <c r="AC25" i="2"/>
  <c r="AC22" i="2"/>
  <c r="AC21" i="2"/>
  <c r="AC20" i="2"/>
  <c r="AC17" i="2"/>
  <c r="AC16" i="2"/>
  <c r="AC15" i="2"/>
  <c r="AC14" i="2"/>
  <c r="AC12" i="2"/>
  <c r="AC11" i="2"/>
  <c r="AC10" i="2"/>
  <c r="AC9" i="2"/>
  <c r="AC48" i="2" s="1"/>
  <c r="AC8" i="2"/>
  <c r="AB31" i="2"/>
  <c r="AB29" i="2"/>
  <c r="AB27" i="2"/>
  <c r="AB26" i="2"/>
  <c r="AK26" i="2" s="1"/>
  <c r="AB25" i="2"/>
  <c r="AK25" i="2" s="1"/>
  <c r="AB22" i="2"/>
  <c r="AB21" i="2"/>
  <c r="AB20" i="2"/>
  <c r="AB17" i="2"/>
  <c r="AK17" i="2" s="1"/>
  <c r="AB16" i="2"/>
  <c r="AK16" i="2" s="1"/>
  <c r="AB15" i="2"/>
  <c r="AK15" i="2" s="1"/>
  <c r="AB14" i="2"/>
  <c r="AK14" i="2" s="1"/>
  <c r="AB12" i="2"/>
  <c r="AB50" i="2" s="1"/>
  <c r="AB11" i="2"/>
  <c r="AB10" i="2"/>
  <c r="AB9" i="2"/>
  <c r="AB48" i="2" s="1"/>
  <c r="AB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S35" i="2"/>
  <c r="S33" i="2"/>
  <c r="T23" i="2"/>
  <c r="S23" i="2"/>
  <c r="R23" i="2"/>
  <c r="Q23" i="2"/>
  <c r="P23" i="2"/>
  <c r="O23" i="2"/>
  <c r="AE23" i="2" s="1"/>
  <c r="N23" i="2"/>
  <c r="M23" i="2"/>
  <c r="L23" i="2"/>
  <c r="K23" i="2"/>
  <c r="AD23" i="2" s="1"/>
  <c r="J23" i="2"/>
  <c r="I23" i="2"/>
  <c r="H23" i="2"/>
  <c r="G23" i="2"/>
  <c r="AC23" i="2" s="1"/>
  <c r="F23" i="2"/>
  <c r="E23" i="2"/>
  <c r="D23" i="2"/>
  <c r="C23" i="2"/>
  <c r="AB23" i="2" s="1"/>
  <c r="AK23" i="2" s="1"/>
  <c r="T18" i="2"/>
  <c r="S18" i="2"/>
  <c r="R18" i="2"/>
  <c r="Q18" i="2"/>
  <c r="P18" i="2"/>
  <c r="O18" i="2"/>
  <c r="AE18" i="2" s="1"/>
  <c r="N18" i="2"/>
  <c r="M18" i="2"/>
  <c r="L18" i="2"/>
  <c r="K18" i="2"/>
  <c r="AD18" i="2" s="1"/>
  <c r="J18" i="2"/>
  <c r="I18" i="2"/>
  <c r="H18" i="2"/>
  <c r="G18" i="2"/>
  <c r="AC18" i="2" s="1"/>
  <c r="F18" i="2"/>
  <c r="E18" i="2"/>
  <c r="D18" i="2"/>
  <c r="C18" i="2"/>
  <c r="AB18" i="2" s="1"/>
  <c r="AK18" i="2" s="1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O7" i="1"/>
  <c r="O6" i="1"/>
  <c r="AK40" i="2" l="1"/>
  <c r="AK43" i="2" s="1"/>
  <c r="AI40" i="2"/>
  <c r="AH40" i="2"/>
  <c r="AG40" i="2"/>
  <c r="AJ40" i="2"/>
  <c r="O5" i="1"/>
  <c r="O8" i="1" s="1"/>
  <c r="AF40" i="2"/>
  <c r="AE48" i="2"/>
  <c r="U47" i="2"/>
  <c r="V47" i="2" s="1"/>
  <c r="W47" i="2" s="1"/>
  <c r="X47" i="2" s="1"/>
  <c r="Y47" i="2" s="1"/>
  <c r="Z47" i="2" s="1"/>
  <c r="X15" i="2"/>
  <c r="X16" i="2"/>
  <c r="V10" i="2"/>
  <c r="W10" i="2" s="1"/>
  <c r="AF10" i="2"/>
  <c r="Z12" i="2"/>
  <c r="V17" i="2"/>
  <c r="AF57" i="2"/>
  <c r="AE57" i="2"/>
  <c r="AE50" i="2"/>
  <c r="V26" i="2"/>
  <c r="W26" i="2" s="1"/>
  <c r="AF26" i="2"/>
  <c r="V25" i="2"/>
  <c r="W15" i="2"/>
  <c r="W16" i="2"/>
  <c r="AE45" i="2"/>
  <c r="AE58" i="2"/>
  <c r="AE49" i="2"/>
  <c r="AE44" i="2"/>
  <c r="AE56" i="2"/>
  <c r="AE47" i="2"/>
  <c r="AD50" i="2"/>
  <c r="AD57" i="2"/>
  <c r="AD45" i="2"/>
  <c r="AD58" i="2"/>
  <c r="AD49" i="2"/>
  <c r="AD47" i="2"/>
  <c r="AD56" i="2"/>
  <c r="AD44" i="2"/>
  <c r="AC50" i="2"/>
  <c r="AC57" i="2"/>
  <c r="AC58" i="2"/>
  <c r="AC49" i="2"/>
  <c r="AC45" i="2"/>
  <c r="AC56" i="2"/>
  <c r="AC44" i="2"/>
  <c r="AC47" i="2"/>
  <c r="AJ31" i="2"/>
  <c r="AK31" i="2"/>
  <c r="AI31" i="2"/>
  <c r="AK29" i="2"/>
  <c r="AK27" i="2"/>
  <c r="AJ27" i="2"/>
  <c r="AI27" i="2"/>
  <c r="AK22" i="2"/>
  <c r="AJ22" i="2"/>
  <c r="AI22" i="2"/>
  <c r="AK21" i="2"/>
  <c r="AK20" i="2"/>
  <c r="AB45" i="2"/>
  <c r="AB49" i="2"/>
  <c r="AB47" i="2"/>
  <c r="AB44" i="2"/>
  <c r="T52" i="2"/>
  <c r="T51" i="2"/>
  <c r="S52" i="2"/>
  <c r="S51" i="2"/>
  <c r="R52" i="2"/>
  <c r="R51" i="2"/>
  <c r="Q51" i="2"/>
  <c r="U51" i="2" s="1"/>
  <c r="V51" i="2" s="1"/>
  <c r="W51" i="2" s="1"/>
  <c r="X51" i="2" s="1"/>
  <c r="Y51" i="2" s="1"/>
  <c r="Z51" i="2" s="1"/>
  <c r="Q52" i="2"/>
  <c r="U52" i="2" s="1"/>
  <c r="V52" i="2" s="1"/>
  <c r="W52" i="2" s="1"/>
  <c r="X52" i="2" s="1"/>
  <c r="Y52" i="2" s="1"/>
  <c r="Z52" i="2" s="1"/>
  <c r="P52" i="2"/>
  <c r="P51" i="2"/>
  <c r="AE13" i="2"/>
  <c r="O51" i="2"/>
  <c r="O52" i="2"/>
  <c r="N51" i="2"/>
  <c r="N52" i="2"/>
  <c r="M52" i="2"/>
  <c r="M51" i="2"/>
  <c r="L52" i="2"/>
  <c r="L51" i="2"/>
  <c r="AD13" i="2"/>
  <c r="K51" i="2"/>
  <c r="K52" i="2"/>
  <c r="J51" i="2"/>
  <c r="J52" i="2"/>
  <c r="I52" i="2"/>
  <c r="I51" i="2"/>
  <c r="H52" i="2"/>
  <c r="H51" i="2"/>
  <c r="AC13" i="2"/>
  <c r="G52" i="2"/>
  <c r="G51" i="2"/>
  <c r="F19" i="2"/>
  <c r="F52" i="2"/>
  <c r="F51" i="2"/>
  <c r="E19" i="2"/>
  <c r="E52" i="2"/>
  <c r="E51" i="2"/>
  <c r="D19" i="2"/>
  <c r="D52" i="2"/>
  <c r="D51" i="2"/>
  <c r="C52" i="2"/>
  <c r="C51" i="2"/>
  <c r="AG12" i="2"/>
  <c r="W50" i="2"/>
  <c r="X50" i="2"/>
  <c r="U17" i="2"/>
  <c r="Z9" i="2"/>
  <c r="Z15" i="2" s="1"/>
  <c r="AJ15" i="2" s="1"/>
  <c r="V15" i="2"/>
  <c r="Y9" i="2"/>
  <c r="U15" i="2"/>
  <c r="AF15" i="2" s="1"/>
  <c r="AF48" i="2" s="1"/>
  <c r="T59" i="2"/>
  <c r="AB36" i="2"/>
  <c r="X14" i="2"/>
  <c r="W13" i="2"/>
  <c r="W14" i="2"/>
  <c r="V11" i="2"/>
  <c r="V16" i="2" s="1"/>
  <c r="Z5" i="2"/>
  <c r="U11" i="2"/>
  <c r="Y5" i="2"/>
  <c r="Y11" i="2" s="1"/>
  <c r="Z44" i="2"/>
  <c r="Z8" i="2" s="1"/>
  <c r="Z14" i="2" s="1"/>
  <c r="AJ14" i="2" s="1"/>
  <c r="V8" i="2"/>
  <c r="Y44" i="2"/>
  <c r="Y8" i="2" s="1"/>
  <c r="AG8" i="2" s="1"/>
  <c r="U8" i="2"/>
  <c r="AF8" i="2" s="1"/>
  <c r="C19" i="2"/>
  <c r="AB13" i="2"/>
  <c r="AB53" i="2" s="1"/>
  <c r="Z45" i="2"/>
  <c r="T19" i="2"/>
  <c r="S59" i="2"/>
  <c r="S19" i="2"/>
  <c r="R59" i="2"/>
  <c r="R19" i="2"/>
  <c r="Q59" i="2"/>
  <c r="Q19" i="2"/>
  <c r="P59" i="2"/>
  <c r="P19" i="2"/>
  <c r="O59" i="2"/>
  <c r="O19" i="2"/>
  <c r="AE19" i="2" s="1"/>
  <c r="AE60" i="2" s="1"/>
  <c r="N59" i="2"/>
  <c r="N19" i="2"/>
  <c r="M59" i="2"/>
  <c r="M19" i="2"/>
  <c r="L19" i="2"/>
  <c r="L59" i="2"/>
  <c r="K59" i="2"/>
  <c r="K19" i="2"/>
  <c r="AD19" i="2" s="1"/>
  <c r="AD60" i="2" s="1"/>
  <c r="J59" i="2"/>
  <c r="J19" i="2"/>
  <c r="I59" i="2"/>
  <c r="I19" i="2"/>
  <c r="H59" i="2"/>
  <c r="H19" i="2"/>
  <c r="G59" i="2"/>
  <c r="G19" i="2"/>
  <c r="AC19" i="2" s="1"/>
  <c r="AC60" i="2" s="1"/>
  <c r="F24" i="2"/>
  <c r="F28" i="2" s="1"/>
  <c r="F60" i="2"/>
  <c r="E24" i="2"/>
  <c r="E28" i="2" s="1"/>
  <c r="E60" i="2"/>
  <c r="D24" i="2"/>
  <c r="D28" i="2" s="1"/>
  <c r="D60" i="2"/>
  <c r="AK42" i="2" l="1"/>
  <c r="AI42" i="2"/>
  <c r="AI43" i="2"/>
  <c r="AH42" i="2"/>
  <c r="AH43" i="2"/>
  <c r="AG42" i="2"/>
  <c r="AG43" i="2"/>
  <c r="AJ42" i="2"/>
  <c r="AJ43" i="2"/>
  <c r="AF42" i="2"/>
  <c r="AF43" i="2"/>
  <c r="X10" i="2"/>
  <c r="AE59" i="2"/>
  <c r="AD59" i="2"/>
  <c r="AE53" i="2"/>
  <c r="AE52" i="2"/>
  <c r="AE51" i="2"/>
  <c r="AD53" i="2"/>
  <c r="AD52" i="2"/>
  <c r="AD51" i="2"/>
  <c r="AC53" i="2"/>
  <c r="AC52" i="2"/>
  <c r="AC51" i="2"/>
  <c r="X26" i="2"/>
  <c r="AG57" i="2"/>
  <c r="AH12" i="2"/>
  <c r="AC59" i="2"/>
  <c r="W25" i="2"/>
  <c r="AF25" i="2"/>
  <c r="Y15" i="2"/>
  <c r="AG9" i="2"/>
  <c r="U16" i="2"/>
  <c r="AF16" i="2" s="1"/>
  <c r="AF11" i="2"/>
  <c r="Y16" i="2"/>
  <c r="AG44" i="2"/>
  <c r="AH44" i="2" s="1"/>
  <c r="AI44" i="2" s="1"/>
  <c r="AJ44" i="2" s="1"/>
  <c r="AK44" i="2" s="1"/>
  <c r="AH8" i="2"/>
  <c r="AF44" i="2"/>
  <c r="AF56" i="2"/>
  <c r="AB52" i="2"/>
  <c r="AB51" i="2"/>
  <c r="AK13" i="2"/>
  <c r="F30" i="2"/>
  <c r="F32" i="2" s="1"/>
  <c r="F54" i="2"/>
  <c r="E30" i="2"/>
  <c r="E32" i="2" s="1"/>
  <c r="E54" i="2"/>
  <c r="D30" i="2"/>
  <c r="D32" i="2" s="1"/>
  <c r="D33" i="2" s="1"/>
  <c r="D54" i="2"/>
  <c r="AF17" i="2"/>
  <c r="AF50" i="2" s="1"/>
  <c r="Y50" i="2"/>
  <c r="Z50" i="2" s="1"/>
  <c r="W17" i="2"/>
  <c r="W18" i="2" s="1"/>
  <c r="W19" i="2" s="1"/>
  <c r="W21" i="2"/>
  <c r="W20" i="2"/>
  <c r="W23" i="2" s="1"/>
  <c r="V13" i="2"/>
  <c r="V14" i="2"/>
  <c r="V18" i="2" s="1"/>
  <c r="Y14" i="2"/>
  <c r="U13" i="2"/>
  <c r="U14" i="2"/>
  <c r="AB19" i="2"/>
  <c r="C24" i="2"/>
  <c r="AB24" i="2" s="1"/>
  <c r="C60" i="2"/>
  <c r="Z11" i="2"/>
  <c r="AG11" i="2" s="1"/>
  <c r="C28" i="2"/>
  <c r="C54" i="2" s="1"/>
  <c r="T24" i="2"/>
  <c r="T28" i="2" s="1"/>
  <c r="T60" i="2"/>
  <c r="S24" i="2"/>
  <c r="S28" i="2" s="1"/>
  <c r="S60" i="2"/>
  <c r="R24" i="2"/>
  <c r="R28" i="2" s="1"/>
  <c r="R60" i="2"/>
  <c r="Q24" i="2"/>
  <c r="Q28" i="2" s="1"/>
  <c r="Q60" i="2"/>
  <c r="P24" i="2"/>
  <c r="P28" i="2" s="1"/>
  <c r="P60" i="2"/>
  <c r="O24" i="2"/>
  <c r="O60" i="2"/>
  <c r="N24" i="2"/>
  <c r="N28" i="2" s="1"/>
  <c r="N60" i="2"/>
  <c r="M24" i="2"/>
  <c r="M28" i="2" s="1"/>
  <c r="M60" i="2"/>
  <c r="L24" i="2"/>
  <c r="L28" i="2" s="1"/>
  <c r="L60" i="2"/>
  <c r="K24" i="2"/>
  <c r="K60" i="2"/>
  <c r="J24" i="2"/>
  <c r="J28" i="2" s="1"/>
  <c r="J60" i="2"/>
  <c r="I24" i="2"/>
  <c r="I28" i="2" s="1"/>
  <c r="I60" i="2"/>
  <c r="H24" i="2"/>
  <c r="H28" i="2" s="1"/>
  <c r="H60" i="2"/>
  <c r="G24" i="2"/>
  <c r="G60" i="2"/>
  <c r="F33" i="2"/>
  <c r="F35" i="2"/>
  <c r="E33" i="2"/>
  <c r="E35" i="2"/>
  <c r="D35" i="2"/>
  <c r="Y10" i="2" l="1"/>
  <c r="X13" i="2"/>
  <c r="Y26" i="2"/>
  <c r="AI12" i="2"/>
  <c r="AH57" i="2"/>
  <c r="X25" i="2"/>
  <c r="AG15" i="2"/>
  <c r="AH15" i="2"/>
  <c r="AI15" i="2"/>
  <c r="AG48" i="2"/>
  <c r="AH9" i="2"/>
  <c r="AF45" i="2"/>
  <c r="AF49" i="2"/>
  <c r="AF58" i="2"/>
  <c r="AG58" i="2"/>
  <c r="AG45" i="2"/>
  <c r="AH45" i="2" s="1"/>
  <c r="AI45" i="2" s="1"/>
  <c r="AJ45" i="2" s="1"/>
  <c r="AK45" i="2" s="1"/>
  <c r="AH11" i="2"/>
  <c r="AI8" i="2"/>
  <c r="AK51" i="2"/>
  <c r="AK52" i="2"/>
  <c r="AK53" i="2"/>
  <c r="W24" i="2"/>
  <c r="W28" i="2" s="1"/>
  <c r="AG14" i="2"/>
  <c r="AG47" i="2" s="1"/>
  <c r="AI14" i="2"/>
  <c r="AH14" i="2"/>
  <c r="AH47" i="2" s="1"/>
  <c r="AB60" i="2"/>
  <c r="AK19" i="2"/>
  <c r="AK60" i="2" s="1"/>
  <c r="T30" i="2"/>
  <c r="T32" i="2" s="1"/>
  <c r="T54" i="2"/>
  <c r="S30" i="2"/>
  <c r="S54" i="2"/>
  <c r="R30" i="2"/>
  <c r="R32" i="2" s="1"/>
  <c r="R54" i="2"/>
  <c r="Q30" i="2"/>
  <c r="Q32" i="2" s="1"/>
  <c r="Q54" i="2"/>
  <c r="U54" i="2" s="1"/>
  <c r="V54" i="2" s="1"/>
  <c r="W54" i="2" s="1"/>
  <c r="X54" i="2" s="1"/>
  <c r="Y54" i="2" s="1"/>
  <c r="Z54" i="2" s="1"/>
  <c r="P30" i="2"/>
  <c r="P32" i="2" s="1"/>
  <c r="P54" i="2"/>
  <c r="N30" i="2"/>
  <c r="N32" i="2" s="1"/>
  <c r="N54" i="2"/>
  <c r="M30" i="2"/>
  <c r="M32" i="2" s="1"/>
  <c r="M54" i="2"/>
  <c r="L30" i="2"/>
  <c r="L32" i="2" s="1"/>
  <c r="L54" i="2"/>
  <c r="J30" i="2"/>
  <c r="J32" i="2" s="1"/>
  <c r="J54" i="2"/>
  <c r="I30" i="2"/>
  <c r="I32" i="2" s="1"/>
  <c r="I54" i="2"/>
  <c r="H30" i="2"/>
  <c r="H32" i="2" s="1"/>
  <c r="H54" i="2"/>
  <c r="U18" i="2"/>
  <c r="AF14" i="2"/>
  <c r="AF47" i="2" s="1"/>
  <c r="AF18" i="2"/>
  <c r="X17" i="2"/>
  <c r="V21" i="2"/>
  <c r="V20" i="2"/>
  <c r="V23" i="2" s="1"/>
  <c r="AF13" i="2"/>
  <c r="U21" i="2"/>
  <c r="AF21" i="2" s="1"/>
  <c r="AF52" i="2" s="1"/>
  <c r="U20" i="2"/>
  <c r="U19" i="2"/>
  <c r="V19" i="2"/>
  <c r="V24" i="2" s="1"/>
  <c r="V28" i="2" s="1"/>
  <c r="Z16" i="2"/>
  <c r="AB28" i="2"/>
  <c r="C30" i="2"/>
  <c r="O28" i="2"/>
  <c r="O54" i="2" s="1"/>
  <c r="AE24" i="2"/>
  <c r="K28" i="2"/>
  <c r="K54" i="2" s="1"/>
  <c r="AD24" i="2"/>
  <c r="G28" i="2"/>
  <c r="G54" i="2" s="1"/>
  <c r="AC24" i="2"/>
  <c r="AK24" i="2" s="1"/>
  <c r="L33" i="2"/>
  <c r="L35" i="2"/>
  <c r="J33" i="2"/>
  <c r="J35" i="2"/>
  <c r="I33" i="2"/>
  <c r="I35" i="2"/>
  <c r="H33" i="2"/>
  <c r="H35" i="2"/>
  <c r="Z10" i="2" l="1"/>
  <c r="Y13" i="2"/>
  <c r="X20" i="2"/>
  <c r="X21" i="2"/>
  <c r="T33" i="2"/>
  <c r="T35" i="2"/>
  <c r="R33" i="2"/>
  <c r="R35" i="2"/>
  <c r="Q33" i="2"/>
  <c r="Q35" i="2"/>
  <c r="P33" i="2"/>
  <c r="P35" i="2"/>
  <c r="N33" i="2"/>
  <c r="N35" i="2"/>
  <c r="M33" i="2"/>
  <c r="M35" i="2"/>
  <c r="W29" i="2"/>
  <c r="W30" i="2" s="1"/>
  <c r="W32" i="2" s="1"/>
  <c r="Z26" i="2"/>
  <c r="AI57" i="2"/>
  <c r="AJ12" i="2"/>
  <c r="Y25" i="2"/>
  <c r="AI9" i="2"/>
  <c r="AH48" i="2"/>
  <c r="AI11" i="2"/>
  <c r="AH58" i="2"/>
  <c r="AI47" i="2"/>
  <c r="AJ8" i="2"/>
  <c r="X18" i="2"/>
  <c r="AF59" i="2"/>
  <c r="AF53" i="2"/>
  <c r="AG16" i="2"/>
  <c r="AG49" i="2" s="1"/>
  <c r="AH16" i="2"/>
  <c r="AH49" i="2" s="1"/>
  <c r="AI16" i="2"/>
  <c r="AJ16" i="2"/>
  <c r="AB54" i="2"/>
  <c r="Y17" i="2"/>
  <c r="Z17" i="2"/>
  <c r="V29" i="2"/>
  <c r="V30" i="2" s="1"/>
  <c r="V32" i="2" s="1"/>
  <c r="U23" i="2"/>
  <c r="AF20" i="2"/>
  <c r="AF51" i="2" s="1"/>
  <c r="AF19" i="2"/>
  <c r="AF60" i="2" s="1"/>
  <c r="AB30" i="2"/>
  <c r="C32" i="2"/>
  <c r="AE28" i="2"/>
  <c r="AE54" i="2" s="1"/>
  <c r="O30" i="2"/>
  <c r="AD28" i="2"/>
  <c r="AD54" i="2" s="1"/>
  <c r="K30" i="2"/>
  <c r="AC28" i="2"/>
  <c r="G30" i="2"/>
  <c r="Z13" i="2" l="1"/>
  <c r="AG10" i="2"/>
  <c r="Y20" i="2"/>
  <c r="Y21" i="2"/>
  <c r="AJ13" i="2"/>
  <c r="Z21" i="2"/>
  <c r="AJ21" i="2" s="1"/>
  <c r="AJ52" i="2" s="1"/>
  <c r="Z20" i="2"/>
  <c r="AI13" i="2"/>
  <c r="AH13" i="2"/>
  <c r="AG13" i="2"/>
  <c r="W33" i="2"/>
  <c r="W35" i="2"/>
  <c r="X23" i="2"/>
  <c r="AH17" i="2"/>
  <c r="AH50" i="2" s="1"/>
  <c r="AI17" i="2"/>
  <c r="AI50" i="2" s="1"/>
  <c r="AH26" i="2"/>
  <c r="AJ26" i="2"/>
  <c r="AJ57" i="2"/>
  <c r="AK12" i="2"/>
  <c r="Z25" i="2"/>
  <c r="AI48" i="2"/>
  <c r="AJ9" i="2"/>
  <c r="AI49" i="2"/>
  <c r="AI58" i="2"/>
  <c r="AJ11" i="2"/>
  <c r="AJ47" i="2"/>
  <c r="AK8" i="2"/>
  <c r="X19" i="2"/>
  <c r="AG26" i="2"/>
  <c r="AI26" i="2"/>
  <c r="Z18" i="2"/>
  <c r="AJ17" i="2"/>
  <c r="AJ50" i="2" s="1"/>
  <c r="AK28" i="2"/>
  <c r="AK54" i="2" s="1"/>
  <c r="AC54" i="2"/>
  <c r="Y18" i="2"/>
  <c r="AG17" i="2"/>
  <c r="AG50" i="2" s="1"/>
  <c r="V33" i="2"/>
  <c r="V35" i="2"/>
  <c r="AF23" i="2"/>
  <c r="U24" i="2"/>
  <c r="AB32" i="2"/>
  <c r="C33" i="2"/>
  <c r="C35" i="2"/>
  <c r="AB33" i="2"/>
  <c r="AB35" i="2"/>
  <c r="AE30" i="2"/>
  <c r="O32" i="2"/>
  <c r="AD30" i="2"/>
  <c r="K32" i="2"/>
  <c r="AC30" i="2"/>
  <c r="AK30" i="2" s="1"/>
  <c r="G32" i="2"/>
  <c r="AH10" i="2" l="1"/>
  <c r="AG56" i="2"/>
  <c r="AK59" i="2"/>
  <c r="AJ53" i="2"/>
  <c r="AJ59" i="2"/>
  <c r="AI59" i="2"/>
  <c r="AI53" i="2"/>
  <c r="AH53" i="2"/>
  <c r="AH59" i="2"/>
  <c r="Y23" i="2"/>
  <c r="AH20" i="2"/>
  <c r="AH51" i="2" s="1"/>
  <c r="AI20" i="2"/>
  <c r="AI51" i="2" s="1"/>
  <c r="AG20" i="2"/>
  <c r="AG51" i="2" s="1"/>
  <c r="AG21" i="2"/>
  <c r="AG52" i="2" s="1"/>
  <c r="AI21" i="2"/>
  <c r="AI52" i="2" s="1"/>
  <c r="AH21" i="2"/>
  <c r="AH52" i="2" s="1"/>
  <c r="AJ20" i="2"/>
  <c r="AJ51" i="2" s="1"/>
  <c r="Z23" i="2"/>
  <c r="AJ23" i="2" s="1"/>
  <c r="AG59" i="2"/>
  <c r="AG53" i="2"/>
  <c r="AI18" i="2"/>
  <c r="AH18" i="2"/>
  <c r="AK57" i="2"/>
  <c r="AK50" i="2"/>
  <c r="AH25" i="2"/>
  <c r="AJ25" i="2"/>
  <c r="AJ48" i="2"/>
  <c r="AK9" i="2"/>
  <c r="AK48" i="2" s="1"/>
  <c r="AJ49" i="2"/>
  <c r="AJ58" i="2"/>
  <c r="AK11" i="2"/>
  <c r="AK47" i="2"/>
  <c r="X24" i="2"/>
  <c r="AJ18" i="2"/>
  <c r="Z19" i="2"/>
  <c r="AG25" i="2"/>
  <c r="AI25" i="2"/>
  <c r="AG18" i="2"/>
  <c r="Y19" i="2"/>
  <c r="AF24" i="2"/>
  <c r="U28" i="2"/>
  <c r="AE32" i="2"/>
  <c r="O33" i="2"/>
  <c r="O35" i="2"/>
  <c r="AD32" i="2"/>
  <c r="K33" i="2"/>
  <c r="K35" i="2"/>
  <c r="AC32" i="2"/>
  <c r="AK32" i="2" s="1"/>
  <c r="G35" i="2"/>
  <c r="G33" i="2"/>
  <c r="AH56" i="2" l="1"/>
  <c r="AI10" i="2"/>
  <c r="AG23" i="2"/>
  <c r="AI23" i="2"/>
  <c r="AH23" i="2"/>
  <c r="AJ19" i="2"/>
  <c r="AJ60" i="2" s="1"/>
  <c r="Z24" i="2"/>
  <c r="AI19" i="2"/>
  <c r="AI60" i="2" s="1"/>
  <c r="AH19" i="2"/>
  <c r="AH60" i="2" s="1"/>
  <c r="AK58" i="2"/>
  <c r="AK49" i="2"/>
  <c r="X28" i="2"/>
  <c r="AK33" i="2"/>
  <c r="AK35" i="2"/>
  <c r="AK41" i="2" s="1"/>
  <c r="AG19" i="2"/>
  <c r="AG60" i="2" s="1"/>
  <c r="Y24" i="2"/>
  <c r="U29" i="2"/>
  <c r="AF28" i="2"/>
  <c r="AE33" i="2"/>
  <c r="AE35" i="2"/>
  <c r="AD33" i="2"/>
  <c r="AD35" i="2"/>
  <c r="AC33" i="2"/>
  <c r="AC35" i="2"/>
  <c r="AI56" i="2" l="1"/>
  <c r="AJ10" i="2"/>
  <c r="Z28" i="2"/>
  <c r="AJ24" i="2"/>
  <c r="X29" i="2"/>
  <c r="AH24" i="2"/>
  <c r="AI24" i="2"/>
  <c r="AG24" i="2"/>
  <c r="Y28" i="2"/>
  <c r="AF29" i="2"/>
  <c r="AF54" i="2" s="1"/>
  <c r="U30" i="2"/>
  <c r="AK10" i="2" l="1"/>
  <c r="AK56" i="2" s="1"/>
  <c r="AJ56" i="2"/>
  <c r="Z29" i="2"/>
  <c r="AJ28" i="2"/>
  <c r="AI28" i="2"/>
  <c r="AH28" i="2"/>
  <c r="X30" i="2"/>
  <c r="U32" i="2"/>
  <c r="U33" i="2" s="1"/>
  <c r="AF30" i="2"/>
  <c r="AG28" i="2"/>
  <c r="Y29" i="2"/>
  <c r="AH29" i="2" l="1"/>
  <c r="AH54" i="2" s="1"/>
  <c r="Z30" i="2"/>
  <c r="AJ29" i="2"/>
  <c r="AJ54" i="2" s="1"/>
  <c r="AI29" i="2"/>
  <c r="AI54" i="2" s="1"/>
  <c r="X32" i="2"/>
  <c r="U35" i="2"/>
  <c r="AF32" i="2"/>
  <c r="AG29" i="2"/>
  <c r="AG54" i="2" s="1"/>
  <c r="Y30" i="2"/>
  <c r="AH30" i="2" l="1"/>
  <c r="Z32" i="2"/>
  <c r="AJ30" i="2"/>
  <c r="AI30" i="2"/>
  <c r="X33" i="2"/>
  <c r="X35" i="2"/>
  <c r="AF33" i="2"/>
  <c r="AF35" i="2"/>
  <c r="AF41" i="2" s="1"/>
  <c r="Y32" i="2"/>
  <c r="AG30" i="2"/>
  <c r="AJ32" i="2" l="1"/>
  <c r="Z33" i="2"/>
  <c r="Z35" i="2"/>
  <c r="AI32" i="2"/>
  <c r="AH32" i="2"/>
  <c r="AG32" i="2"/>
  <c r="Y35" i="2"/>
  <c r="Y33" i="2"/>
  <c r="AJ35" i="2" l="1"/>
  <c r="AJ41" i="2" s="1"/>
  <c r="AJ33" i="2"/>
  <c r="AI35" i="2"/>
  <c r="AI41" i="2" s="1"/>
  <c r="AI33" i="2"/>
  <c r="AH35" i="2"/>
  <c r="AH41" i="2" s="1"/>
  <c r="AH33" i="2"/>
  <c r="AG35" i="2"/>
  <c r="AG41" i="2" s="1"/>
  <c r="AG3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<sst xmlns="http://schemas.openxmlformats.org/spreadsheetml/2006/main" count="90" uniqueCount="88">
  <si>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</si>
  <si>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</si>
  <si>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</si>
  <si>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</si>
  <si>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</si>
  <si>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</si>
  <si>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</si>
  <si>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</si>
  <si>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</si>
  <si>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</si>
  <si>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</si>
  <si>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</si>
  <si>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</si>
  <si>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</si>
  <si>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</si>
  <si>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</si>
  <si>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</si>
  <si>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</si>
  <si>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</si>
  <si>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</si>
  <si>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</si>
  <si>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</si>
  <si>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</si>
  <si>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</si>
  <si>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Automotive sales</t>
  </si>
  <si>
    <t>Automotive leasing revenue</t>
  </si>
  <si>
    <t xml:space="preserve">Automotive regulatory credits </t>
  </si>
  <si>
    <t>Energy generation and storage sales</t>
  </si>
  <si>
    <t>Services Sales</t>
  </si>
  <si>
    <t>Total Revenue</t>
  </si>
  <si>
    <t>Automotive COGS</t>
  </si>
  <si>
    <t>Automotive Leasing COGS</t>
  </si>
  <si>
    <t>Energy generation and storage COGS</t>
  </si>
  <si>
    <t>Services COGS</t>
  </si>
  <si>
    <t>Total COGS</t>
  </si>
  <si>
    <t>Gross Profit</t>
  </si>
  <si>
    <t>R&amp;D</t>
  </si>
  <si>
    <t>Selling General and Administrative (SG&amp;A)</t>
  </si>
  <si>
    <t>Restructuring</t>
  </si>
  <si>
    <t>Total Operating expenses</t>
  </si>
  <si>
    <t>Operating Income</t>
  </si>
  <si>
    <t>Interest Income</t>
  </si>
  <si>
    <t>Interest Expenses</t>
  </si>
  <si>
    <t>Other income net</t>
  </si>
  <si>
    <t>Pretax income</t>
  </si>
  <si>
    <t xml:space="preserve">Taxes </t>
  </si>
  <si>
    <t>Net Income</t>
  </si>
  <si>
    <t>Less: noncontrolling interests</t>
  </si>
  <si>
    <t>Net income to common stockholders</t>
  </si>
  <si>
    <t>Shares</t>
  </si>
  <si>
    <t>Diluted EPS</t>
  </si>
  <si>
    <t>Diluted Shares</t>
  </si>
  <si>
    <t>Automotive Growth</t>
  </si>
  <si>
    <t>Services Growth</t>
  </si>
  <si>
    <t xml:space="preserve">Energy and Storage Growth </t>
  </si>
  <si>
    <t>Revenue Growth</t>
  </si>
  <si>
    <t>Gross Margin</t>
  </si>
  <si>
    <t>Growth rows are year over year (same quarter, prior year). Automotive Growth = total automotive revenue (sales + leasing + regulatory credits). Gross Margin = Gross Profit / Total Revenue.</t>
  </si>
  <si>
    <t>Q4 columns (F, J, N, R) are derived: full-year figures from the 10-K less Q1+Q2+Q3. Weighted-average share counts are not additive, so rows 34 and 36 are left blank in those columns and must be entered from the Q4 earnings release.</t>
  </si>
  <si>
    <t>Price</t>
  </si>
  <si>
    <t>MC</t>
  </si>
  <si>
    <t>Cash</t>
  </si>
  <si>
    <t>Debt</t>
  </si>
  <si>
    <t>EV (Enterprise Value)</t>
  </si>
  <si>
    <t>Main</t>
  </si>
  <si>
    <t>Car Deliveries</t>
  </si>
  <si>
    <t>Energy Storage GWH</t>
  </si>
  <si>
    <t>ASP (Average selling price) for automotive sales
In Dollars</t>
  </si>
  <si>
    <t>NOTES:</t>
  </si>
  <si>
    <t>Higher Historical growth for energy - 
expecting moderate going forward</t>
  </si>
  <si>
    <t xml:space="preserve">Moderate or zero growth for car deliveries
Unless new market comes to fruition. 
Could expect a decline in deliveries due to 
growing competitors </t>
  </si>
  <si>
    <t>Energy revenue per GWh ($)</t>
  </si>
  <si>
    <t xml:space="preserve">Automotive gross margin </t>
  </si>
  <si>
    <t>Automotive Leasing Gross margin</t>
  </si>
  <si>
    <t>Services Gross margin</t>
  </si>
  <si>
    <t>DRIVERS</t>
  </si>
  <si>
    <t>R&amp;D percentage of Revenue</t>
  </si>
  <si>
    <t xml:space="preserve">Restructuring </t>
  </si>
  <si>
    <t>Historical Tax Rate</t>
  </si>
  <si>
    <t>SG&amp;A percentage of Revenue (COGS)</t>
  </si>
  <si>
    <t>EPS (Earnings Per Shares)</t>
  </si>
  <si>
    <t>Energy Gross Margin</t>
  </si>
  <si>
    <t>Valuation Block</t>
  </si>
  <si>
    <t>Target P/E Multiple</t>
  </si>
  <si>
    <t>Implied Price Per Share</t>
  </si>
  <si>
    <t>Current Price Per share</t>
  </si>
  <si>
    <t>Difference ($)</t>
  </si>
  <si>
    <t>Upside /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</si>
</sst>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164" formatCode="0.00;[Red]0.00"/>
    <numFmt numFmtId="165" formatCode="0.0%"/>
    <numFmt numFmtId="166" formatCode="#,##0.0"/>
    <numFmt numFmtId="167" formatCode="0;[Red]0"/>
    <numFmt numFmtId="168" formatCode="0.0%;[Red]\-0.0%"/>
    <numFmt numFmtId="169" formatCode="&quot;$&quot;#,##0.00"/>
    <numFmt numFmtId="170" formatCode="&quot;$&quot;#,##0.0"/>
    <numFmt numFmtId="171" formatCode="0.0\x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name val="Aptos Narrow"/>
    </font>
    <font>
      <b/>
      <sz val="11"/>
      <color theme="1"/>
      <name val="Courier New"/>
      <family val="3"/>
    </font>
    <font>
      <i/>
      <sz val="9"/>
      <name val="Aptos Narrow"/>
      <family val="2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0">
    <xf numFmtId="0" fontId="0" fillId="0" borderId="0" xfId="0"/>
    <xf numFmtId="9" fontId="0" fillId="0" borderId="0" xfId="1" applyFont="1"/>
    <xf numFmtId="164" fontId="0" fillId="0" borderId="0" xfId="0" applyNumberFormat="1" applyAlignment="1">
      <alignment horizontal="center" vertical="center"/>
    </xf>
    <xf numFmtId="166" fontId="0" fillId="0" borderId="0" xfId="0" applyNumberFormat="1"/>
    <xf numFmtId="170" fontId="0" fillId="0" borderId="0" xfId="0" applyNumberFormat="1"/>
    <xf numFmtId="169" fontId="4" fillId="0" borderId="0" xfId="0" applyNumberFormat="1" applyFont="1"/>
    <xf numFmtId="167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33618</xdr:rowOff>
    </xdr:from>
    <xdr:to>
      <xdr:col>20</xdr:col>
      <xdr:colOff>22411</xdr:colOff>
      <xdr:row>70</xdr:row>
      <xdr:rowOff>168088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408C177-3001-479B-94C7-728CEB89F6BF}"/>
            </a:ext>
          </a:extLst>
        </xdr:cNvPr>
        <xdr:cNvCxnSpPr/>
      </xdr:nvCxnSpPr>
      <xdr:spPr>
        <a:xfrm>
          <a:off x="18030265" y="33618"/>
          <a:ext cx="22411" cy="112843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40342</xdr:colOff>
      <xdr:row>0</xdr:row>
      <xdr:rowOff>0</xdr:rowOff>
    </xdr:from>
    <xdr:to>
      <xdr:col>31</xdr:col>
      <xdr:colOff>62753</xdr:colOff>
      <xdr:row>70</xdr:row>
      <xdr:rowOff>134470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CAA9173-4D87-4F40-BBCD-844B8C862414}"/>
            </a:ext>
          </a:extLst>
        </xdr:cNvPr>
        <xdr:cNvCxnSpPr/>
      </xdr:nvCxnSpPr>
      <xdr:spPr>
        <a:xfrm>
          <a:off x="26811195" y="0"/>
          <a:ext cx="22411" cy="129988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10">
    <v t="i">1</v>
    <v t="i">2</v>
    <v t="i">3</v>
    <v t="i">4</v>
    <v t="i">5</v>
    <v t="i">8</v>
    <v t="i">9</v>
    <v t="i">10</v>
    <v t="i">11</v>
    <v t="i">12</v>
  </a>
  <a r="1" c="10">
    <v>309.22000000000003</v>
    <v>307.44</v>
    <v>298.32</v>
    <v>308.85000000000002</v>
    <v>311.20999999999998</v>
    <v>322.08</v>
    <v>327.35000000000002</v>
    <v>321.55</v>
    <v>319.52999999999997</v>
    <v>328.58</v>
  </a>
</arrayData>
</file>

<file path=xl/richData/rdrichvalue.xml><?xml version="1.0" encoding="utf-8"?>
<rvData xmlns="http://schemas.microsoft.com/office/spreadsheetml/2017/richdata" count="2">
  <rv s="0">
    <fb>328.58</fb>
    <v>0</v>
  </rv>
  <rv s="1">
    <v>1</v>
    <v>TSLA</v>
    <v>Daily</v>
    <v>46229</v>
    <v>46243</v>
    <v>0</v>
    <v>1</v>
    <v>639216576000000000,639219331665938992,0</v>
    <v>0</v>
    <v>a24kar</v>
    <v>XNAS:TSLA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3:O9"/>
  <sheetViews>
    <sheetView zoomScaleNormal="100" workbookViewId="0">
      <selection activeCell="R13" sqref="R13"/>
    </sheetView>
  </sheetViews>
  <sheetFormatPr defaultRowHeight="15" x14ac:dyDescent="0.25"/>
  <cols>
    <col min="14" max="14" width="19.5703125" bestFit="1" customWidth="1"/>
    <col min="15" max="15" width="12" bestFit="1" customWidth="1"/>
  </cols>
  <sheetData>
    <row r="3" spans="14:15" ht="15.75" x14ac:dyDescent="0.3">
      <c r="N3" t="s">
        <v>59</v>
      </c>
      <c r="O3" s="5" cm="1" vm="1">
        <f t="array" aca="1" ref="O3" ca="1">_xlfn.LET(_xlpm.p,_xlfn.STOCKHISTORY("TSLA",TODAY()-14,TODAY(),0,0,1),INDEX(_xlpm.p,ROWS(_xlpm.p),1))</f>
        <v>328.58</v>
      </c>
    </row>
    <row r="4" spans="14:15" x14ac:dyDescent="0.25">
      <c r="N4" t="s">
        <v>49</v>
      </c>
      <c r="O4" s="3">
        <v>3949.5473940000002</v>
      </c>
    </row>
    <row r="5" spans="14:15" x14ac:dyDescent="0.25">
      <c r="N5" t="s">
        <v>60</v>
      </c>
      <c r="O5" s="4">
        <f ca="1">O3*O4</f>
        <v>1297742.2827205199</v>
      </c>
    </row>
    <row r="6" spans="14:15" x14ac:dyDescent="0.25">
      <c r="N6" t="s">
        <v>61</v>
      </c>
      <c r="O6" s="4">
        <f>15219+28305</f>
        <v>43524</v>
      </c>
    </row>
    <row r="7" spans="14:15" x14ac:dyDescent="0.25">
      <c r="N7" t="s">
        <v>62</v>
      </c>
      <c r="O7" s="4">
        <f>1418+7924</f>
        <v>9342</v>
      </c>
    </row>
    <row r="8" spans="14:15" x14ac:dyDescent="0.25">
      <c r="N8" t="s">
        <v>63</v>
      </c>
      <c r="O8" s="4">
        <f ca="1">O5-O6+O7</f>
        <v>1263560.2827205199</v>
      </c>
    </row>
    <row r="9" spans="14:15" x14ac:dyDescent="0.25">
      <c r="N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"/>
  <sheetViews>
    <sheetView tabSelected="1" zoomScale="85" zoomScaleNormal="85" workbookViewId="0">
      <pane xSplit="2" ySplit="3" topLeftCell="AB4" activePane="bottomRight" state="frozen"/>
      <selection pane="topRight" activeCell="C1" sqref="C1"/>
      <selection pane="bottomLeft" activeCell="A4" sqref="A4"/>
      <selection pane="bottomRight" activeCell="AL40" sqref="AL40"/>
    </sheetView>
  </sheetViews>
  <sheetFormatPr defaultRowHeight="15" x14ac:dyDescent="0.25"/>
  <cols>
    <col min="1" max="1" width="15" style="2" bestFit="1" customWidth="1"/>
    <col min="2" max="2" width="40.42578125" style="2" customWidth="1"/>
    <col min="3" max="22" width="12.7109375" style="2" bestFit="1" customWidth="1"/>
    <col min="23" max="23" width="15.42578125" style="2" bestFit="1" customWidth="1"/>
    <col min="24" max="24" width="14.5703125" style="2" bestFit="1" customWidth="1"/>
    <col min="25" max="25" width="15.42578125" style="2" bestFit="1" customWidth="1"/>
    <col min="26" max="26" width="14.28515625" style="2" bestFit="1" customWidth="1"/>
    <col min="27" max="27" width="9.140625" style="2"/>
    <col min="28" max="28" width="17.7109375" style="2" bestFit="1" customWidth="1"/>
    <col min="29" max="29" width="18.140625" style="2" bestFit="1" customWidth="1"/>
    <col min="30" max="30" width="16.85546875" style="2" bestFit="1" customWidth="1"/>
    <col min="31" max="31" width="18.140625" style="2" bestFit="1" customWidth="1"/>
    <col min="32" max="37" width="17.7109375" style="2" bestFit="1" customWidth="1"/>
    <col min="38" max="38" width="9.140625" style="2"/>
    <col min="39" max="39" width="15.7109375" style="2" customWidth="1"/>
    <col min="40" max="16384" width="9.140625" style="2"/>
  </cols>
  <sheetData>
    <row r="1" spans="1:39" x14ac:dyDescent="0.25">
      <c r="A1" s="2" t="s">
        <v>64</v>
      </c>
    </row>
    <row r="3" spans="1:39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B3" s="6">
        <v>2022</v>
      </c>
      <c r="AC3" s="6">
        <v>2023</v>
      </c>
      <c r="AD3" s="6">
        <v>2024</v>
      </c>
      <c r="AE3" s="6">
        <v>2025</v>
      </c>
      <c r="AF3" s="6">
        <v>2026</v>
      </c>
      <c r="AG3" s="6">
        <v>2027</v>
      </c>
      <c r="AH3" s="6">
        <v>2028</v>
      </c>
      <c r="AI3" s="6">
        <v>2029</v>
      </c>
      <c r="AJ3" s="6">
        <v>2030</v>
      </c>
      <c r="AK3" s="6">
        <v>2031</v>
      </c>
      <c r="AM3" s="2" t="s">
        <v>82</v>
      </c>
    </row>
    <row r="4" spans="1:39" x14ac:dyDescent="0.25">
      <c r="B4" s="2" t="s">
        <v>65</v>
      </c>
      <c r="C4" s="2">
        <v>310048</v>
      </c>
      <c r="D4" s="2">
        <v>254695</v>
      </c>
      <c r="E4" s="2">
        <v>343830</v>
      </c>
      <c r="F4" s="2">
        <v>405278</v>
      </c>
      <c r="G4" s="2">
        <v>422875</v>
      </c>
      <c r="H4" s="2">
        <v>466140</v>
      </c>
      <c r="I4" s="2">
        <v>435059</v>
      </c>
      <c r="J4" s="2">
        <v>484507</v>
      </c>
      <c r="K4" s="2">
        <v>386810</v>
      </c>
      <c r="L4" s="2">
        <v>443956</v>
      </c>
      <c r="M4" s="2">
        <v>462890</v>
      </c>
      <c r="N4" s="2">
        <v>495570</v>
      </c>
      <c r="O4" s="2">
        <v>336681</v>
      </c>
      <c r="P4" s="2">
        <v>384122</v>
      </c>
      <c r="Q4" s="2">
        <v>497099</v>
      </c>
      <c r="R4" s="2">
        <v>418227</v>
      </c>
      <c r="S4" s="2">
        <v>358023</v>
      </c>
      <c r="T4" s="2">
        <v>480126</v>
      </c>
      <c r="U4" s="2">
        <v>497099</v>
      </c>
      <c r="V4" s="2">
        <v>418227</v>
      </c>
      <c r="W4" s="2">
        <v>358023</v>
      </c>
      <c r="X4" s="2">
        <v>480126</v>
      </c>
      <c r="Y4" s="2">
        <v>497099</v>
      </c>
      <c r="Z4" s="2">
        <v>418227</v>
      </c>
    </row>
    <row r="5" spans="1:39" x14ac:dyDescent="0.25">
      <c r="B5" s="2" t="s">
        <v>66</v>
      </c>
      <c r="C5" s="2">
        <v>0.84599999999999997</v>
      </c>
      <c r="D5" s="2">
        <v>1.133</v>
      </c>
      <c r="E5" s="2">
        <v>2.1</v>
      </c>
      <c r="F5" s="2">
        <v>2.4620000000000002</v>
      </c>
      <c r="G5" s="2">
        <v>3.8889999999999998</v>
      </c>
      <c r="H5" s="2">
        <v>3.653</v>
      </c>
      <c r="I5" s="2">
        <v>3.98</v>
      </c>
      <c r="J5" s="2">
        <v>3.202</v>
      </c>
      <c r="K5" s="2">
        <v>4.0529999999999999</v>
      </c>
      <c r="L5" s="2">
        <v>9.4</v>
      </c>
      <c r="M5" s="2">
        <v>6.9</v>
      </c>
      <c r="N5" s="2">
        <v>11</v>
      </c>
      <c r="O5" s="2">
        <v>10.4</v>
      </c>
      <c r="P5" s="2">
        <v>9.6</v>
      </c>
      <c r="Q5" s="2">
        <v>12.5</v>
      </c>
      <c r="R5" s="2">
        <v>14.2</v>
      </c>
      <c r="S5" s="2">
        <v>8.8000000000000007</v>
      </c>
      <c r="T5" s="2">
        <v>13.5</v>
      </c>
      <c r="U5" s="2">
        <f t="shared" ref="U5:Z5" si="0">1.15*Q5</f>
        <v>14.374999999999998</v>
      </c>
      <c r="V5" s="2">
        <f t="shared" si="0"/>
        <v>16.329999999999998</v>
      </c>
      <c r="W5" s="2">
        <f t="shared" si="0"/>
        <v>10.119999999999999</v>
      </c>
      <c r="X5" s="2">
        <f t="shared" si="0"/>
        <v>15.524999999999999</v>
      </c>
      <c r="Y5" s="2">
        <f t="shared" si="0"/>
        <v>16.531249999999996</v>
      </c>
      <c r="Z5" s="2">
        <f t="shared" si="0"/>
        <v>18.779499999999995</v>
      </c>
    </row>
    <row r="8" spans="1:39" x14ac:dyDescent="0.25">
      <c r="B8" s="2" t="s">
        <v>24</v>
      </c>
      <c r="C8" s="2">
        <v>15514</v>
      </c>
      <c r="D8" s="2">
        <v>13670</v>
      </c>
      <c r="E8" s="2">
        <v>17785</v>
      </c>
      <c r="F8" s="7">
        <v>20241</v>
      </c>
      <c r="G8" s="2">
        <v>18878</v>
      </c>
      <c r="H8" s="2">
        <v>20419</v>
      </c>
      <c r="I8" s="2">
        <v>18582</v>
      </c>
      <c r="J8" s="7">
        <v>20630</v>
      </c>
      <c r="K8" s="2">
        <v>16460</v>
      </c>
      <c r="L8" s="2">
        <v>18530</v>
      </c>
      <c r="M8" s="2">
        <v>18831</v>
      </c>
      <c r="N8" s="7">
        <v>18659</v>
      </c>
      <c r="O8" s="2">
        <v>12925</v>
      </c>
      <c r="P8" s="2">
        <v>15787</v>
      </c>
      <c r="Q8" s="2">
        <v>20359</v>
      </c>
      <c r="R8" s="7">
        <v>16750</v>
      </c>
      <c r="S8" s="2">
        <v>15473</v>
      </c>
      <c r="T8" s="2">
        <v>20006</v>
      </c>
      <c r="U8" s="2">
        <f t="shared" ref="U8:Z8" si="1">U4*U44/1000000</f>
        <v>20359.000000000004</v>
      </c>
      <c r="V8" s="2">
        <f t="shared" si="1"/>
        <v>16750.000000000004</v>
      </c>
      <c r="W8" s="2">
        <f t="shared" si="1"/>
        <v>15472.999999999998</v>
      </c>
      <c r="X8" s="2">
        <f t="shared" si="1"/>
        <v>20006</v>
      </c>
      <c r="Y8" s="2">
        <f t="shared" si="1"/>
        <v>20359.000000000004</v>
      </c>
      <c r="Z8" s="2">
        <f t="shared" si="1"/>
        <v>16750.000000000004</v>
      </c>
      <c r="AB8" s="2">
        <f>SUM(C8:F8)</f>
        <v>67210</v>
      </c>
      <c r="AC8" s="2">
        <f>SUM(G8:J8)</f>
        <v>78509</v>
      </c>
      <c r="AD8" s="2">
        <f>SUM(K8:N8)</f>
        <v>72480</v>
      </c>
      <c r="AE8" s="2">
        <f>SUM(O8:R8)</f>
        <v>65821</v>
      </c>
      <c r="AF8" s="2">
        <f>SUM(S8:V8)</f>
        <v>72588</v>
      </c>
      <c r="AG8" s="2">
        <f>SUM(W8:Z8)</f>
        <v>72588</v>
      </c>
      <c r="AH8" s="2">
        <f>AG8*1.05</f>
        <v>76217.400000000009</v>
      </c>
      <c r="AI8" s="2">
        <f t="shared" ref="AI8:AK8" si="2">AH8*1.05</f>
        <v>80028.270000000019</v>
      </c>
      <c r="AJ8" s="2">
        <f t="shared" si="2"/>
        <v>84029.683500000028</v>
      </c>
      <c r="AK8" s="2">
        <f t="shared" si="2"/>
        <v>88231.167675000033</v>
      </c>
    </row>
    <row r="9" spans="1:39" x14ac:dyDescent="0.25">
      <c r="B9" s="2" t="s">
        <v>25</v>
      </c>
      <c r="C9" s="2">
        <v>668</v>
      </c>
      <c r="D9" s="2">
        <v>588</v>
      </c>
      <c r="E9" s="2">
        <v>621</v>
      </c>
      <c r="F9" s="7">
        <v>599</v>
      </c>
      <c r="G9" s="2">
        <v>564</v>
      </c>
      <c r="H9" s="2">
        <v>567</v>
      </c>
      <c r="I9" s="2">
        <v>489</v>
      </c>
      <c r="J9" s="7">
        <v>500</v>
      </c>
      <c r="K9" s="2">
        <v>476</v>
      </c>
      <c r="L9" s="2">
        <v>458</v>
      </c>
      <c r="M9" s="2">
        <v>446</v>
      </c>
      <c r="N9" s="7">
        <v>447</v>
      </c>
      <c r="O9" s="2">
        <v>447</v>
      </c>
      <c r="P9" s="2">
        <v>439</v>
      </c>
      <c r="Q9" s="2">
        <v>429</v>
      </c>
      <c r="R9" s="7">
        <v>397</v>
      </c>
      <c r="S9" s="2">
        <v>381</v>
      </c>
      <c r="T9" s="2">
        <v>364</v>
      </c>
      <c r="U9" s="2">
        <f>Q9</f>
        <v>429</v>
      </c>
      <c r="V9" s="2">
        <f t="shared" ref="V9:Z9" si="3">R9</f>
        <v>397</v>
      </c>
      <c r="W9" s="2">
        <f t="shared" si="3"/>
        <v>381</v>
      </c>
      <c r="X9" s="2">
        <f t="shared" si="3"/>
        <v>364</v>
      </c>
      <c r="Y9" s="2">
        <f t="shared" si="3"/>
        <v>429</v>
      </c>
      <c r="Z9" s="2">
        <f t="shared" si="3"/>
        <v>397</v>
      </c>
      <c r="AB9" s="2">
        <f>SUM(C9:F9)</f>
        <v>2476</v>
      </c>
      <c r="AC9" s="2">
        <f>SUM(G9:J9)</f>
        <v>2120</v>
      </c>
      <c r="AD9" s="2">
        <f t="shared" ref="AD9:AD31" si="4">SUM(K9:N9)</f>
        <v>1827</v>
      </c>
      <c r="AE9" s="2">
        <f t="shared" ref="AE9:AE31" si="5">SUM(O9:R9)</f>
        <v>1712</v>
      </c>
      <c r="AF9" s="2">
        <f t="shared" ref="AF9:AF32" si="6">SUM(S9:V9)</f>
        <v>1571</v>
      </c>
      <c r="AG9" s="2">
        <f>SUM(W9:Z9)</f>
        <v>1571</v>
      </c>
      <c r="AH9" s="2">
        <f>AG9*1.05</f>
        <v>1649.5500000000002</v>
      </c>
      <c r="AI9" s="2">
        <f t="shared" ref="AI9:AK9" si="7">AH9*1.05</f>
        <v>1732.0275000000004</v>
      </c>
      <c r="AJ9" s="2">
        <f t="shared" si="7"/>
        <v>1818.6288750000006</v>
      </c>
      <c r="AK9" s="2">
        <f t="shared" si="7"/>
        <v>1909.5603187500008</v>
      </c>
    </row>
    <row r="10" spans="1:39" x14ac:dyDescent="0.25">
      <c r="B10" s="2" t="s">
        <v>26</v>
      </c>
      <c r="C10" s="2">
        <v>679</v>
      </c>
      <c r="D10" s="2">
        <v>344</v>
      </c>
      <c r="E10" s="2">
        <v>286</v>
      </c>
      <c r="F10" s="7">
        <v>467</v>
      </c>
      <c r="G10" s="2">
        <v>521</v>
      </c>
      <c r="H10" s="2">
        <v>282</v>
      </c>
      <c r="I10" s="2">
        <v>554</v>
      </c>
      <c r="J10" s="7">
        <v>433</v>
      </c>
      <c r="K10" s="2">
        <v>442</v>
      </c>
      <c r="L10" s="2">
        <v>890</v>
      </c>
      <c r="M10" s="2">
        <v>739</v>
      </c>
      <c r="N10" s="7">
        <v>692</v>
      </c>
      <c r="O10" s="2">
        <v>595</v>
      </c>
      <c r="P10" s="2">
        <v>435</v>
      </c>
      <c r="Q10" s="2">
        <v>417</v>
      </c>
      <c r="R10" s="7">
        <v>546</v>
      </c>
      <c r="S10" s="2">
        <v>380</v>
      </c>
      <c r="T10" s="2">
        <v>146</v>
      </c>
      <c r="U10" s="2">
        <f>AVERAGE(Q10:T10)</f>
        <v>372.25</v>
      </c>
      <c r="V10" s="2">
        <f>U10</f>
        <v>372.25</v>
      </c>
      <c r="W10" s="2">
        <f t="shared" ref="W10:Z10" si="8">V10</f>
        <v>372.25</v>
      </c>
      <c r="X10" s="2">
        <f t="shared" si="8"/>
        <v>372.25</v>
      </c>
      <c r="Y10" s="2">
        <f t="shared" si="8"/>
        <v>372.25</v>
      </c>
      <c r="Z10" s="2">
        <f t="shared" si="8"/>
        <v>372.25</v>
      </c>
      <c r="AB10" s="2">
        <f t="shared" ref="AB10:AB32" si="9">SUM(C10:F10)</f>
        <v>1776</v>
      </c>
      <c r="AC10" s="2">
        <f>SUM(G10:J10)</f>
        <v>1790</v>
      </c>
      <c r="AD10" s="2">
        <f t="shared" si="4"/>
        <v>2763</v>
      </c>
      <c r="AE10" s="2">
        <f t="shared" si="5"/>
        <v>1993</v>
      </c>
      <c r="AF10" s="2">
        <f t="shared" si="6"/>
        <v>1270.5</v>
      </c>
      <c r="AG10" s="2">
        <f t="shared" ref="AG10:AG32" si="10">SUM(W10:Z10)</f>
        <v>1489</v>
      </c>
      <c r="AH10" s="2">
        <f>AG10</f>
        <v>1489</v>
      </c>
      <c r="AI10" s="2">
        <f>AH10</f>
        <v>1489</v>
      </c>
      <c r="AJ10" s="2">
        <f>AI10</f>
        <v>1489</v>
      </c>
      <c r="AK10" s="2">
        <f>AJ10</f>
        <v>1489</v>
      </c>
    </row>
    <row r="11" spans="1:39" x14ac:dyDescent="0.25">
      <c r="B11" s="2" t="s">
        <v>27</v>
      </c>
      <c r="C11" s="2">
        <v>616</v>
      </c>
      <c r="D11" s="2">
        <v>866</v>
      </c>
      <c r="E11" s="2">
        <v>1117</v>
      </c>
      <c r="F11" s="7">
        <v>1310</v>
      </c>
      <c r="G11" s="2">
        <v>1529</v>
      </c>
      <c r="H11" s="2">
        <v>1509</v>
      </c>
      <c r="I11" s="2">
        <v>1559</v>
      </c>
      <c r="J11" s="7">
        <v>1438</v>
      </c>
      <c r="K11" s="2">
        <v>1635</v>
      </c>
      <c r="L11" s="2">
        <v>3014</v>
      </c>
      <c r="M11" s="2">
        <v>2376</v>
      </c>
      <c r="N11" s="7">
        <v>3061</v>
      </c>
      <c r="O11" s="2">
        <v>2730</v>
      </c>
      <c r="P11" s="2">
        <v>2789</v>
      </c>
      <c r="Q11" s="2">
        <v>3415</v>
      </c>
      <c r="R11" s="7">
        <v>3837</v>
      </c>
      <c r="S11" s="2">
        <v>2408</v>
      </c>
      <c r="T11" s="2">
        <v>3139</v>
      </c>
      <c r="U11" s="2">
        <f>U5*U45/1000000</f>
        <v>3927.2499999999995</v>
      </c>
      <c r="V11" s="2">
        <f t="shared" ref="V11:Z11" si="11">V5*V45/1000000</f>
        <v>4412.5499999999993</v>
      </c>
      <c r="W11" s="2">
        <f t="shared" si="11"/>
        <v>2769.1999999999994</v>
      </c>
      <c r="X11" s="2">
        <f t="shared" si="11"/>
        <v>3609.8499999999995</v>
      </c>
      <c r="Y11" s="2">
        <f t="shared" si="11"/>
        <v>4516.3374999999987</v>
      </c>
      <c r="Z11" s="2">
        <f t="shared" si="11"/>
        <v>5074.4324999999981</v>
      </c>
      <c r="AB11" s="2">
        <f t="shared" si="9"/>
        <v>3909</v>
      </c>
      <c r="AC11" s="2">
        <f t="shared" ref="AC11:AC32" si="12">SUM(G11:J11)</f>
        <v>6035</v>
      </c>
      <c r="AD11" s="2">
        <f t="shared" si="4"/>
        <v>10086</v>
      </c>
      <c r="AE11" s="2">
        <f t="shared" si="5"/>
        <v>12771</v>
      </c>
      <c r="AF11" s="2">
        <f t="shared" si="6"/>
        <v>13886.8</v>
      </c>
      <c r="AG11" s="2">
        <f>SUM(W11:Z11)</f>
        <v>15969.819999999996</v>
      </c>
      <c r="AH11" s="2">
        <f>AG11*1.1</f>
        <v>17566.801999999996</v>
      </c>
      <c r="AI11" s="2">
        <f t="shared" ref="AI11:AK11" si="13">AH11*1.1</f>
        <v>19323.482199999999</v>
      </c>
      <c r="AJ11" s="2">
        <f t="shared" si="13"/>
        <v>21255.830419999998</v>
      </c>
      <c r="AK11" s="2">
        <f t="shared" si="13"/>
        <v>23381.413462</v>
      </c>
    </row>
    <row r="12" spans="1:39" x14ac:dyDescent="0.25">
      <c r="B12" s="2" t="s">
        <v>28</v>
      </c>
      <c r="C12" s="2">
        <v>1279</v>
      </c>
      <c r="D12" s="2">
        <v>1466</v>
      </c>
      <c r="E12" s="2">
        <v>1645</v>
      </c>
      <c r="F12" s="7">
        <v>1701</v>
      </c>
      <c r="G12" s="2">
        <v>1837</v>
      </c>
      <c r="H12" s="2">
        <v>2150</v>
      </c>
      <c r="I12" s="2">
        <v>2166</v>
      </c>
      <c r="J12" s="7">
        <v>2166</v>
      </c>
      <c r="K12" s="2">
        <v>2288</v>
      </c>
      <c r="L12" s="2">
        <v>2608</v>
      </c>
      <c r="M12" s="2">
        <v>2790</v>
      </c>
      <c r="N12" s="7">
        <v>2848</v>
      </c>
      <c r="O12" s="2">
        <v>2638</v>
      </c>
      <c r="P12" s="2">
        <v>3046</v>
      </c>
      <c r="Q12" s="2">
        <v>3475</v>
      </c>
      <c r="R12" s="7">
        <v>3371</v>
      </c>
      <c r="S12" s="2">
        <v>3745</v>
      </c>
      <c r="T12" s="2">
        <v>4581</v>
      </c>
      <c r="U12" s="2">
        <f>Q12*1.15</f>
        <v>3996.2499999999995</v>
      </c>
      <c r="V12" s="2">
        <f t="shared" ref="V12:Z12" si="14">R12*1.15</f>
        <v>3876.6499999999996</v>
      </c>
      <c r="W12" s="2">
        <f t="shared" si="14"/>
        <v>4306.75</v>
      </c>
      <c r="X12" s="2">
        <f t="shared" si="14"/>
        <v>5268.15</v>
      </c>
      <c r="Y12" s="2">
        <f t="shared" si="14"/>
        <v>4595.6874999999991</v>
      </c>
      <c r="Z12" s="2">
        <f t="shared" si="14"/>
        <v>4458.1474999999991</v>
      </c>
      <c r="AB12" s="2">
        <f t="shared" si="9"/>
        <v>6091</v>
      </c>
      <c r="AC12" s="2">
        <f t="shared" si="12"/>
        <v>8319</v>
      </c>
      <c r="AD12" s="2">
        <f t="shared" si="4"/>
        <v>10534</v>
      </c>
      <c r="AE12" s="2">
        <f>SUM(O12:R12)</f>
        <v>12530</v>
      </c>
      <c r="AF12" s="2">
        <f t="shared" si="6"/>
        <v>16198.9</v>
      </c>
      <c r="AG12" s="2">
        <f>SUM(W12:Z12)</f>
        <v>18628.734999999997</v>
      </c>
      <c r="AH12" s="2">
        <f>AG12*1.15</f>
        <v>21423.045249999996</v>
      </c>
      <c r="AI12" s="2">
        <f t="shared" ref="AI12:AK12" si="15">AH12*1.15</f>
        <v>24636.502037499991</v>
      </c>
      <c r="AJ12" s="2">
        <f t="shared" si="15"/>
        <v>28331.977343124989</v>
      </c>
      <c r="AK12" s="2">
        <f t="shared" si="15"/>
        <v>32581.773944593733</v>
      </c>
    </row>
    <row r="13" spans="1:39" x14ac:dyDescent="0.25">
      <c r="B13" s="8" t="s">
        <v>29</v>
      </c>
      <c r="C13" s="2">
        <f t="shared" ref="C13:T13" si="16">C12+C11+C8+C10+C9</f>
        <v>18756</v>
      </c>
      <c r="D13" s="2">
        <f t="shared" si="16"/>
        <v>16934</v>
      </c>
      <c r="E13" s="2">
        <f t="shared" si="16"/>
        <v>21454</v>
      </c>
      <c r="F13" s="2">
        <f t="shared" si="16"/>
        <v>24318</v>
      </c>
      <c r="G13" s="2">
        <f t="shared" si="16"/>
        <v>23329</v>
      </c>
      <c r="H13" s="2">
        <f t="shared" si="16"/>
        <v>24927</v>
      </c>
      <c r="I13" s="2">
        <f t="shared" si="16"/>
        <v>23350</v>
      </c>
      <c r="J13" s="2">
        <f t="shared" si="16"/>
        <v>25167</v>
      </c>
      <c r="K13" s="2">
        <f t="shared" si="16"/>
        <v>21301</v>
      </c>
      <c r="L13" s="2">
        <f t="shared" si="16"/>
        <v>25500</v>
      </c>
      <c r="M13" s="2">
        <f t="shared" si="16"/>
        <v>25182</v>
      </c>
      <c r="N13" s="2">
        <f t="shared" si="16"/>
        <v>25707</v>
      </c>
      <c r="O13" s="2">
        <f t="shared" si="16"/>
        <v>19335</v>
      </c>
      <c r="P13" s="2">
        <f t="shared" si="16"/>
        <v>22496</v>
      </c>
      <c r="Q13" s="2">
        <f t="shared" si="16"/>
        <v>28095</v>
      </c>
      <c r="R13" s="2">
        <f t="shared" si="16"/>
        <v>24901</v>
      </c>
      <c r="S13" s="2">
        <f t="shared" si="16"/>
        <v>22387</v>
      </c>
      <c r="T13" s="2">
        <f t="shared" si="16"/>
        <v>28236</v>
      </c>
      <c r="U13" s="2">
        <f>SUM(U8:U12)</f>
        <v>29083.750000000004</v>
      </c>
      <c r="V13" s="2">
        <f t="shared" ref="V13:Z13" si="17">SUM(V8:V12)</f>
        <v>25808.450000000004</v>
      </c>
      <c r="W13" s="2">
        <f t="shared" si="17"/>
        <v>23302.199999999997</v>
      </c>
      <c r="X13" s="2">
        <f t="shared" si="17"/>
        <v>29620.25</v>
      </c>
      <c r="Y13" s="2">
        <f t="shared" si="17"/>
        <v>30272.275000000001</v>
      </c>
      <c r="Z13" s="2">
        <f t="shared" si="17"/>
        <v>27051.83</v>
      </c>
      <c r="AB13" s="2">
        <f t="shared" si="9"/>
        <v>81462</v>
      </c>
      <c r="AC13" s="2">
        <f t="shared" si="12"/>
        <v>96773</v>
      </c>
      <c r="AD13" s="2">
        <f t="shared" si="4"/>
        <v>97690</v>
      </c>
      <c r="AE13" s="2">
        <f t="shared" si="5"/>
        <v>94827</v>
      </c>
      <c r="AF13" s="2">
        <f t="shared" si="6"/>
        <v>105515.20000000001</v>
      </c>
      <c r="AG13" s="2">
        <f t="shared" si="10"/>
        <v>110246.55500000001</v>
      </c>
      <c r="AH13" s="2">
        <f t="shared" ref="AH13:AK23" si="18">SUM(X13:AA13)</f>
        <v>86944.35500000001</v>
      </c>
      <c r="AI13" s="2">
        <f t="shared" si="18"/>
        <v>138786.10500000001</v>
      </c>
      <c r="AJ13" s="2">
        <f t="shared" si="18"/>
        <v>205286.83000000002</v>
      </c>
      <c r="AK13" s="2">
        <f t="shared" si="18"/>
        <v>275925</v>
      </c>
    </row>
    <row r="14" spans="1:39" x14ac:dyDescent="0.25">
      <c r="B14" s="2" t="s">
        <v>30</v>
      </c>
      <c r="C14" s="2">
        <v>10914</v>
      </c>
      <c r="D14" s="2">
        <v>10153</v>
      </c>
      <c r="E14" s="2">
        <v>13099</v>
      </c>
      <c r="F14" s="7">
        <v>15433</v>
      </c>
      <c r="G14" s="2">
        <v>15422</v>
      </c>
      <c r="H14" s="2">
        <v>16841</v>
      </c>
      <c r="I14" s="2">
        <v>15656</v>
      </c>
      <c r="J14" s="7">
        <v>17202</v>
      </c>
      <c r="K14" s="2">
        <v>13897</v>
      </c>
      <c r="L14" s="2">
        <v>15962</v>
      </c>
      <c r="M14" s="2">
        <v>15743</v>
      </c>
      <c r="N14" s="7">
        <v>16268</v>
      </c>
      <c r="O14" s="2">
        <v>11461</v>
      </c>
      <c r="P14" s="2">
        <v>13567</v>
      </c>
      <c r="Q14" s="2">
        <v>17365</v>
      </c>
      <c r="R14" s="7">
        <v>13874</v>
      </c>
      <c r="S14" s="2">
        <v>12616</v>
      </c>
      <c r="T14" s="2">
        <v>16866</v>
      </c>
      <c r="U14" s="2">
        <f>U8*(1-U47)</f>
        <v>16997.938320224453</v>
      </c>
      <c r="V14" s="2">
        <f t="shared" ref="V14:Z14" si="19">V8*(1-V47)</f>
        <v>13984.747132165608</v>
      </c>
      <c r="W14" s="2">
        <f t="shared" si="19"/>
        <v>12918.566709014829</v>
      </c>
      <c r="X14" s="2">
        <f t="shared" si="19"/>
        <v>16703.214992603291</v>
      </c>
      <c r="Y14" s="2">
        <f t="shared" si="19"/>
        <v>16997.938320224453</v>
      </c>
      <c r="Z14" s="2">
        <f t="shared" si="19"/>
        <v>13984.747132165608</v>
      </c>
      <c r="AB14" s="2">
        <f t="shared" si="9"/>
        <v>49599</v>
      </c>
      <c r="AC14" s="2">
        <f t="shared" si="12"/>
        <v>65121</v>
      </c>
      <c r="AD14" s="2">
        <f t="shared" si="4"/>
        <v>61870</v>
      </c>
      <c r="AE14" s="2">
        <f t="shared" si="5"/>
        <v>56267</v>
      </c>
      <c r="AF14" s="2">
        <f t="shared" si="6"/>
        <v>60464.685452390055</v>
      </c>
      <c r="AG14" s="2">
        <f t="shared" si="10"/>
        <v>60604.467154008176</v>
      </c>
      <c r="AH14" s="2">
        <f t="shared" si="18"/>
        <v>47685.900444993356</v>
      </c>
      <c r="AI14" s="2">
        <f t="shared" si="18"/>
        <v>80581.685452390055</v>
      </c>
      <c r="AJ14" s="2">
        <f t="shared" si="18"/>
        <v>128704.7471321656</v>
      </c>
      <c r="AK14" s="2">
        <f t="shared" si="18"/>
        <v>176590</v>
      </c>
    </row>
    <row r="15" spans="1:39" x14ac:dyDescent="0.25">
      <c r="B15" s="2" t="s">
        <v>31</v>
      </c>
      <c r="C15" s="2">
        <v>408</v>
      </c>
      <c r="D15" s="2">
        <v>368</v>
      </c>
      <c r="E15" s="2">
        <v>381</v>
      </c>
      <c r="F15" s="7">
        <v>352</v>
      </c>
      <c r="G15" s="2">
        <v>333</v>
      </c>
      <c r="H15" s="2">
        <v>338</v>
      </c>
      <c r="I15" s="2">
        <v>301</v>
      </c>
      <c r="J15" s="7">
        <v>296</v>
      </c>
      <c r="K15" s="2">
        <v>269</v>
      </c>
      <c r="L15" s="2">
        <v>245</v>
      </c>
      <c r="M15" s="2">
        <v>247</v>
      </c>
      <c r="N15" s="7">
        <v>242</v>
      </c>
      <c r="O15" s="2">
        <v>239</v>
      </c>
      <c r="P15" s="2">
        <v>228</v>
      </c>
      <c r="Q15" s="2">
        <v>225</v>
      </c>
      <c r="R15" s="7">
        <v>206</v>
      </c>
      <c r="S15" s="2">
        <v>196</v>
      </c>
      <c r="T15" s="2">
        <v>187</v>
      </c>
      <c r="U15" s="2">
        <f>U9*(1-U48)</f>
        <v>222.1725761334304</v>
      </c>
      <c r="V15" s="2">
        <f t="shared" ref="V15:Z15" si="20">V9*(1-V48)</f>
        <v>205.60026276217218</v>
      </c>
      <c r="W15" s="2">
        <f t="shared" si="20"/>
        <v>197.31410607654308</v>
      </c>
      <c r="X15" s="2">
        <f>X9*(1-X48)</f>
        <v>188.51006459806214</v>
      </c>
      <c r="Y15" s="2">
        <f t="shared" si="20"/>
        <v>222.1725761334304</v>
      </c>
      <c r="Z15" s="2">
        <f t="shared" si="20"/>
        <v>205.60026276217218</v>
      </c>
      <c r="AB15" s="2">
        <f t="shared" si="9"/>
        <v>1509</v>
      </c>
      <c r="AC15" s="2">
        <f t="shared" si="12"/>
        <v>1268</v>
      </c>
      <c r="AD15" s="2">
        <f t="shared" si="4"/>
        <v>1003</v>
      </c>
      <c r="AE15" s="2">
        <f t="shared" si="5"/>
        <v>898</v>
      </c>
      <c r="AF15" s="2">
        <f t="shared" si="6"/>
        <v>810.7728388956026</v>
      </c>
      <c r="AG15" s="2">
        <f t="shared" si="10"/>
        <v>813.59700957020777</v>
      </c>
      <c r="AH15" s="2">
        <f t="shared" si="18"/>
        <v>616.28290349366466</v>
      </c>
      <c r="AI15" s="2">
        <f t="shared" si="18"/>
        <v>1936.7728388956025</v>
      </c>
      <c r="AJ15" s="2">
        <f>SUM(Z15:AC15)</f>
        <v>2982.600262762172</v>
      </c>
      <c r="AK15" s="2">
        <f t="shared" si="18"/>
        <v>3780</v>
      </c>
    </row>
    <row r="16" spans="1:39" x14ac:dyDescent="0.25">
      <c r="B16" s="2" t="s">
        <v>32</v>
      </c>
      <c r="C16" s="2">
        <v>688</v>
      </c>
      <c r="D16" s="2">
        <v>769</v>
      </c>
      <c r="E16" s="2">
        <v>1013</v>
      </c>
      <c r="F16" s="7">
        <v>1151</v>
      </c>
      <c r="G16" s="2">
        <v>1361</v>
      </c>
      <c r="H16" s="2">
        <v>1231</v>
      </c>
      <c r="I16" s="2">
        <v>1178</v>
      </c>
      <c r="J16" s="7">
        <v>1124</v>
      </c>
      <c r="K16" s="2">
        <v>1232</v>
      </c>
      <c r="L16" s="2">
        <v>2274</v>
      </c>
      <c r="M16" s="2">
        <v>1651</v>
      </c>
      <c r="N16" s="7">
        <v>2289</v>
      </c>
      <c r="O16" s="2">
        <v>1945</v>
      </c>
      <c r="P16" s="2">
        <v>1943</v>
      </c>
      <c r="Q16" s="2">
        <v>2342</v>
      </c>
      <c r="R16" s="7">
        <v>2739</v>
      </c>
      <c r="S16" s="2">
        <v>1456</v>
      </c>
      <c r="T16" s="2">
        <v>2499</v>
      </c>
      <c r="U16" s="2">
        <f>U11*(1-U49)</f>
        <v>2749.4691600114675</v>
      </c>
      <c r="V16" s="2">
        <f t="shared" ref="V16:Z16" si="21">V11*(1-V49)</f>
        <v>3089.2278673393853</v>
      </c>
      <c r="W16" s="2">
        <f t="shared" si="21"/>
        <v>1938.7179318616729</v>
      </c>
      <c r="X16" s="2">
        <f t="shared" si="21"/>
        <v>2527.2573040339666</v>
      </c>
      <c r="Y16" s="2">
        <f t="shared" si="21"/>
        <v>3161.8895340131871</v>
      </c>
      <c r="Z16" s="2">
        <f t="shared" si="21"/>
        <v>3552.6120474402919</v>
      </c>
      <c r="AB16" s="2">
        <f t="shared" si="9"/>
        <v>3621</v>
      </c>
      <c r="AC16" s="2">
        <f t="shared" si="12"/>
        <v>4894</v>
      </c>
      <c r="AD16" s="2">
        <f t="shared" si="4"/>
        <v>7446</v>
      </c>
      <c r="AE16" s="2">
        <f t="shared" si="5"/>
        <v>8969</v>
      </c>
      <c r="AF16" s="2">
        <f t="shared" si="6"/>
        <v>9793.6970273508523</v>
      </c>
      <c r="AG16" s="2">
        <f t="shared" si="10"/>
        <v>11180.476817349119</v>
      </c>
      <c r="AH16" s="2">
        <f t="shared" si="18"/>
        <v>9241.7588854874466</v>
      </c>
      <c r="AI16" s="2">
        <f t="shared" si="18"/>
        <v>10335.501581453478</v>
      </c>
      <c r="AJ16" s="2">
        <f t="shared" si="18"/>
        <v>12067.612047440292</v>
      </c>
      <c r="AK16" s="2">
        <f t="shared" si="18"/>
        <v>15961</v>
      </c>
    </row>
    <row r="17" spans="2:37" x14ac:dyDescent="0.25">
      <c r="B17" s="2" t="s">
        <v>33</v>
      </c>
      <c r="C17" s="2">
        <v>1286</v>
      </c>
      <c r="D17" s="2">
        <v>1410</v>
      </c>
      <c r="E17" s="2">
        <v>1579</v>
      </c>
      <c r="F17" s="7">
        <v>1605</v>
      </c>
      <c r="G17" s="2">
        <v>1702</v>
      </c>
      <c r="H17" s="2">
        <v>1984</v>
      </c>
      <c r="I17" s="2">
        <v>2037</v>
      </c>
      <c r="J17" s="7">
        <v>2107</v>
      </c>
      <c r="K17" s="2">
        <v>2207</v>
      </c>
      <c r="L17" s="2">
        <v>2441</v>
      </c>
      <c r="M17" s="2">
        <v>2544</v>
      </c>
      <c r="N17" s="7">
        <v>2729</v>
      </c>
      <c r="O17" s="2">
        <v>2537</v>
      </c>
      <c r="P17" s="2">
        <v>2880</v>
      </c>
      <c r="Q17" s="2">
        <v>3109</v>
      </c>
      <c r="R17" s="7">
        <v>3073</v>
      </c>
      <c r="S17" s="2">
        <v>3399</v>
      </c>
      <c r="T17" s="2">
        <v>3933</v>
      </c>
      <c r="U17" s="2">
        <f>U12*(1-U50)</f>
        <v>3355.4985285159487</v>
      </c>
      <c r="V17" s="2">
        <f>V12*(1-V50)</f>
        <v>3408.9487142901653</v>
      </c>
      <c r="W17" s="2">
        <f t="shared" ref="W17:Z17" si="22">W12*(1-W50)</f>
        <v>3752.4415548118764</v>
      </c>
      <c r="X17" s="2">
        <f t="shared" si="22"/>
        <v>4542.2718266332467</v>
      </c>
      <c r="Y17" s="2">
        <f t="shared" si="22"/>
        <v>3966.6792184247734</v>
      </c>
      <c r="Z17" s="2">
        <f t="shared" si="22"/>
        <v>3874.1212126603023</v>
      </c>
      <c r="AB17" s="2">
        <f t="shared" si="9"/>
        <v>5880</v>
      </c>
      <c r="AC17" s="2">
        <f t="shared" si="12"/>
        <v>7830</v>
      </c>
      <c r="AD17" s="2">
        <f t="shared" si="4"/>
        <v>9921</v>
      </c>
      <c r="AE17" s="2">
        <f t="shared" si="5"/>
        <v>11599</v>
      </c>
      <c r="AF17" s="2">
        <f t="shared" si="6"/>
        <v>14096.447242806114</v>
      </c>
      <c r="AG17" s="2">
        <f t="shared" si="10"/>
        <v>16135.513812530198</v>
      </c>
      <c r="AH17" s="2">
        <f t="shared" si="18"/>
        <v>12383.072257718322</v>
      </c>
      <c r="AI17" s="2">
        <f t="shared" si="18"/>
        <v>13720.800431085076</v>
      </c>
      <c r="AJ17" s="2">
        <f t="shared" si="18"/>
        <v>17584.121212660302</v>
      </c>
      <c r="AK17" s="2">
        <f t="shared" si="18"/>
        <v>23631</v>
      </c>
    </row>
    <row r="18" spans="2:37" x14ac:dyDescent="0.25">
      <c r="B18" s="8" t="s">
        <v>34</v>
      </c>
      <c r="C18" s="2">
        <f t="shared" ref="C18:T18" si="23">C17+C16+C14+C15</f>
        <v>13296</v>
      </c>
      <c r="D18" s="2">
        <f t="shared" si="23"/>
        <v>12700</v>
      </c>
      <c r="E18" s="2">
        <f t="shared" si="23"/>
        <v>16072</v>
      </c>
      <c r="F18" s="2">
        <f t="shared" si="23"/>
        <v>18541</v>
      </c>
      <c r="G18" s="2">
        <f t="shared" si="23"/>
        <v>18818</v>
      </c>
      <c r="H18" s="2">
        <f t="shared" si="23"/>
        <v>20394</v>
      </c>
      <c r="I18" s="2">
        <f t="shared" si="23"/>
        <v>19172</v>
      </c>
      <c r="J18" s="2">
        <f t="shared" si="23"/>
        <v>20729</v>
      </c>
      <c r="K18" s="2">
        <f t="shared" si="23"/>
        <v>17605</v>
      </c>
      <c r="L18" s="2">
        <f t="shared" si="23"/>
        <v>20922</v>
      </c>
      <c r="M18" s="2">
        <f t="shared" si="23"/>
        <v>20185</v>
      </c>
      <c r="N18" s="2">
        <f t="shared" si="23"/>
        <v>21528</v>
      </c>
      <c r="O18" s="2">
        <f t="shared" si="23"/>
        <v>16182</v>
      </c>
      <c r="P18" s="2">
        <f t="shared" si="23"/>
        <v>18618</v>
      </c>
      <c r="Q18" s="2">
        <f t="shared" si="23"/>
        <v>23041</v>
      </c>
      <c r="R18" s="2">
        <f t="shared" si="23"/>
        <v>19892</v>
      </c>
      <c r="S18" s="2">
        <f t="shared" si="23"/>
        <v>17667</v>
      </c>
      <c r="T18" s="2">
        <f t="shared" si="23"/>
        <v>23485</v>
      </c>
      <c r="U18" s="2">
        <f>SUM(U14:U17)</f>
        <v>23325.078584885301</v>
      </c>
      <c r="V18" s="2">
        <f t="shared" ref="V18:Z18" si="24">SUM(V14:V17)</f>
        <v>20688.523976557335</v>
      </c>
      <c r="W18" s="2">
        <f t="shared" si="24"/>
        <v>18807.040301764922</v>
      </c>
      <c r="X18" s="2">
        <f t="shared" si="24"/>
        <v>23961.254187868566</v>
      </c>
      <c r="Y18" s="2">
        <f t="shared" si="24"/>
        <v>24348.679648795842</v>
      </c>
      <c r="Z18" s="2">
        <f t="shared" si="24"/>
        <v>21617.080655028374</v>
      </c>
      <c r="AB18" s="2">
        <f t="shared" si="9"/>
        <v>60609</v>
      </c>
      <c r="AC18" s="2">
        <f t="shared" si="12"/>
        <v>79113</v>
      </c>
      <c r="AD18" s="2">
        <f t="shared" si="4"/>
        <v>80240</v>
      </c>
      <c r="AE18" s="2">
        <f t="shared" si="5"/>
        <v>77733</v>
      </c>
      <c r="AF18" s="2">
        <f t="shared" si="6"/>
        <v>85165.602561442633</v>
      </c>
      <c r="AG18" s="2">
        <f t="shared" si="10"/>
        <v>88734.054793457704</v>
      </c>
      <c r="AH18" s="2">
        <f t="shared" si="18"/>
        <v>69927.014491692782</v>
      </c>
      <c r="AI18" s="2">
        <f t="shared" si="18"/>
        <v>106574.76030382421</v>
      </c>
      <c r="AJ18" s="2">
        <f t="shared" si="18"/>
        <v>161339.08065502837</v>
      </c>
      <c r="AK18" s="2">
        <f t="shared" si="18"/>
        <v>219962</v>
      </c>
    </row>
    <row r="19" spans="2:37" x14ac:dyDescent="0.25">
      <c r="B19" s="8" t="s">
        <v>35</v>
      </c>
      <c r="C19" s="2">
        <f t="shared" ref="C19:T19" si="25">C13-C18</f>
        <v>5460</v>
      </c>
      <c r="D19" s="2">
        <f t="shared" si="25"/>
        <v>4234</v>
      </c>
      <c r="E19" s="2">
        <f t="shared" si="25"/>
        <v>5382</v>
      </c>
      <c r="F19" s="2">
        <f t="shared" si="25"/>
        <v>5777</v>
      </c>
      <c r="G19" s="2">
        <f t="shared" si="25"/>
        <v>4511</v>
      </c>
      <c r="H19" s="2">
        <f t="shared" si="25"/>
        <v>4533</v>
      </c>
      <c r="I19" s="2">
        <f t="shared" si="25"/>
        <v>4178</v>
      </c>
      <c r="J19" s="2">
        <f t="shared" si="25"/>
        <v>4438</v>
      </c>
      <c r="K19" s="2">
        <f t="shared" si="25"/>
        <v>3696</v>
      </c>
      <c r="L19" s="2">
        <f t="shared" si="25"/>
        <v>4578</v>
      </c>
      <c r="M19" s="2">
        <f t="shared" si="25"/>
        <v>4997</v>
      </c>
      <c r="N19" s="2">
        <f t="shared" si="25"/>
        <v>4179</v>
      </c>
      <c r="O19" s="2">
        <f t="shared" si="25"/>
        <v>3153</v>
      </c>
      <c r="P19" s="2">
        <f t="shared" si="25"/>
        <v>3878</v>
      </c>
      <c r="Q19" s="2">
        <f t="shared" si="25"/>
        <v>5054</v>
      </c>
      <c r="R19" s="2">
        <f t="shared" si="25"/>
        <v>5009</v>
      </c>
      <c r="S19" s="2">
        <f t="shared" si="25"/>
        <v>4720</v>
      </c>
      <c r="T19" s="2">
        <f t="shared" si="25"/>
        <v>4751</v>
      </c>
      <c r="U19" s="2">
        <f>U13-U18</f>
        <v>5758.6714151147025</v>
      </c>
      <c r="V19" s="2">
        <f t="shared" ref="V19:Z19" si="26">V13-V18</f>
        <v>5119.9260234426692</v>
      </c>
      <c r="W19" s="2">
        <f t="shared" si="26"/>
        <v>4495.1596982350748</v>
      </c>
      <c r="X19" s="2">
        <f t="shared" si="26"/>
        <v>5658.9958121314339</v>
      </c>
      <c r="Y19" s="2">
        <f t="shared" si="26"/>
        <v>5923.5953512041597</v>
      </c>
      <c r="Z19" s="2">
        <f t="shared" si="26"/>
        <v>5434.7493449716276</v>
      </c>
      <c r="AB19" s="2">
        <f t="shared" si="9"/>
        <v>20853</v>
      </c>
      <c r="AC19" s="2">
        <f t="shared" si="12"/>
        <v>17660</v>
      </c>
      <c r="AD19" s="2">
        <f t="shared" si="4"/>
        <v>17450</v>
      </c>
      <c r="AE19" s="2">
        <f t="shared" si="5"/>
        <v>17094</v>
      </c>
      <c r="AF19" s="2">
        <f t="shared" si="6"/>
        <v>20349.597438557372</v>
      </c>
      <c r="AG19" s="2">
        <f t="shared" si="10"/>
        <v>21512.500206542296</v>
      </c>
      <c r="AH19" s="2">
        <f t="shared" si="18"/>
        <v>17017.340508307221</v>
      </c>
      <c r="AI19" s="2">
        <f t="shared" si="18"/>
        <v>32211.344696175787</v>
      </c>
      <c r="AJ19" s="2">
        <f t="shared" si="18"/>
        <v>43947.749344971628</v>
      </c>
      <c r="AK19" s="2">
        <f t="shared" si="18"/>
        <v>55963</v>
      </c>
    </row>
    <row r="20" spans="2:37" x14ac:dyDescent="0.25">
      <c r="B20" s="2" t="s">
        <v>36</v>
      </c>
      <c r="C20" s="2">
        <v>865</v>
      </c>
      <c r="D20" s="2">
        <v>667</v>
      </c>
      <c r="E20" s="2">
        <v>733</v>
      </c>
      <c r="F20" s="7">
        <v>810</v>
      </c>
      <c r="G20" s="2">
        <v>771</v>
      </c>
      <c r="H20" s="2">
        <v>943</v>
      </c>
      <c r="I20" s="2">
        <v>1161</v>
      </c>
      <c r="J20" s="7">
        <v>1094</v>
      </c>
      <c r="K20" s="2">
        <v>1151</v>
      </c>
      <c r="L20" s="2">
        <v>1074</v>
      </c>
      <c r="M20" s="2">
        <v>1039</v>
      </c>
      <c r="N20" s="7">
        <v>1276</v>
      </c>
      <c r="O20" s="2">
        <v>1409</v>
      </c>
      <c r="P20" s="2">
        <v>1589</v>
      </c>
      <c r="Q20" s="2">
        <v>1630</v>
      </c>
      <c r="R20" s="7">
        <v>1783</v>
      </c>
      <c r="S20" s="2">
        <v>1946</v>
      </c>
      <c r="T20" s="2">
        <v>2371</v>
      </c>
      <c r="U20" s="2">
        <f>U51*U13</f>
        <v>2185.0421866637957</v>
      </c>
      <c r="V20" s="2">
        <f t="shared" ref="V20:Z20" si="27">V51*V13</f>
        <v>1938.9711444501909</v>
      </c>
      <c r="W20" s="2">
        <f t="shared" si="27"/>
        <v>1750.6783011845821</v>
      </c>
      <c r="X20" s="2">
        <f t="shared" si="27"/>
        <v>2225.3490636361639</v>
      </c>
      <c r="Y20" s="2">
        <f t="shared" si="27"/>
        <v>2274.3352546108308</v>
      </c>
      <c r="Z20" s="2">
        <f t="shared" si="27"/>
        <v>2032.3854309178585</v>
      </c>
      <c r="AB20" s="2">
        <f t="shared" si="9"/>
        <v>3075</v>
      </c>
      <c r="AC20" s="2">
        <f t="shared" si="12"/>
        <v>3969</v>
      </c>
      <c r="AD20" s="2">
        <f t="shared" si="4"/>
        <v>4540</v>
      </c>
      <c r="AE20" s="2">
        <f t="shared" si="5"/>
        <v>6411</v>
      </c>
      <c r="AF20" s="2">
        <f t="shared" si="6"/>
        <v>8441.0133311139871</v>
      </c>
      <c r="AG20" s="2">
        <f t="shared" si="10"/>
        <v>8282.7480503494353</v>
      </c>
      <c r="AH20" s="2">
        <f t="shared" si="18"/>
        <v>6532.0697491648534</v>
      </c>
      <c r="AI20" s="2">
        <f t="shared" si="18"/>
        <v>7381.7206855286895</v>
      </c>
      <c r="AJ20" s="2">
        <f t="shared" si="18"/>
        <v>9076.3854309178587</v>
      </c>
      <c r="AK20" s="2">
        <f t="shared" si="18"/>
        <v>11584</v>
      </c>
    </row>
    <row r="21" spans="2:37" x14ac:dyDescent="0.25">
      <c r="B21" s="2" t="s">
        <v>37</v>
      </c>
      <c r="C21" s="2">
        <v>992</v>
      </c>
      <c r="D21" s="2">
        <v>961</v>
      </c>
      <c r="E21" s="2">
        <v>961</v>
      </c>
      <c r="F21" s="7">
        <v>1032</v>
      </c>
      <c r="G21" s="2">
        <v>1076</v>
      </c>
      <c r="H21" s="2">
        <v>1191</v>
      </c>
      <c r="I21" s="2">
        <v>1253</v>
      </c>
      <c r="J21" s="7">
        <v>1280</v>
      </c>
      <c r="K21" s="2">
        <v>1374</v>
      </c>
      <c r="L21" s="2">
        <v>1277</v>
      </c>
      <c r="M21" s="2">
        <v>1186</v>
      </c>
      <c r="N21" s="7">
        <v>1313</v>
      </c>
      <c r="O21" s="2">
        <v>1251</v>
      </c>
      <c r="P21" s="2">
        <v>1366</v>
      </c>
      <c r="Q21" s="2">
        <v>1562</v>
      </c>
      <c r="R21" s="7">
        <v>1655</v>
      </c>
      <c r="S21" s="2">
        <v>1833</v>
      </c>
      <c r="T21" s="2">
        <v>1982</v>
      </c>
      <c r="U21" s="2">
        <f>U52*U13</f>
        <v>1993.1983082632028</v>
      </c>
      <c r="V21" s="2">
        <f t="shared" ref="V21:Z21" si="28">V52*V13</f>
        <v>1768.731985349051</v>
      </c>
      <c r="W21" s="2">
        <f t="shared" si="28"/>
        <v>1596.9710102311701</v>
      </c>
      <c r="X21" s="2">
        <f t="shared" si="28"/>
        <v>2029.9662935602571</v>
      </c>
      <c r="Y21" s="2">
        <f t="shared" si="28"/>
        <v>2074.6515603138673</v>
      </c>
      <c r="Z21" s="2">
        <f t="shared" si="28"/>
        <v>1853.9446182635925</v>
      </c>
      <c r="AB21" s="2">
        <f t="shared" si="9"/>
        <v>3946</v>
      </c>
      <c r="AC21" s="2">
        <f t="shared" si="12"/>
        <v>4800</v>
      </c>
      <c r="AD21" s="2">
        <f t="shared" si="4"/>
        <v>5150</v>
      </c>
      <c r="AE21" s="2">
        <f t="shared" si="5"/>
        <v>5834</v>
      </c>
      <c r="AF21" s="2">
        <f t="shared" si="6"/>
        <v>7576.930293612254</v>
      </c>
      <c r="AG21" s="2">
        <f t="shared" si="10"/>
        <v>7555.5334823688881</v>
      </c>
      <c r="AH21" s="2">
        <f t="shared" si="18"/>
        <v>5958.5624721377171</v>
      </c>
      <c r="AI21" s="2">
        <f t="shared" si="18"/>
        <v>7874.5961785774598</v>
      </c>
      <c r="AJ21" s="2">
        <f t="shared" si="18"/>
        <v>10599.944618263593</v>
      </c>
      <c r="AK21" s="2">
        <f t="shared" si="18"/>
        <v>13896</v>
      </c>
    </row>
    <row r="22" spans="2:37" x14ac:dyDescent="0.25">
      <c r="B22" s="2" t="s">
        <v>38</v>
      </c>
      <c r="D22" s="2">
        <v>142</v>
      </c>
      <c r="F22" s="7">
        <v>34</v>
      </c>
      <c r="J22" s="7">
        <v>0</v>
      </c>
      <c r="L22" s="2">
        <v>622</v>
      </c>
      <c r="M22" s="2">
        <v>55</v>
      </c>
      <c r="N22" s="7">
        <v>7</v>
      </c>
      <c r="O22" s="2">
        <v>94</v>
      </c>
      <c r="Q22" s="2">
        <v>238</v>
      </c>
      <c r="R22" s="7">
        <v>162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B22" s="2">
        <f t="shared" si="9"/>
        <v>176</v>
      </c>
      <c r="AC22" s="2">
        <f t="shared" si="12"/>
        <v>0</v>
      </c>
      <c r="AD22" s="2">
        <f t="shared" si="4"/>
        <v>684</v>
      </c>
      <c r="AE22" s="2">
        <f t="shared" si="5"/>
        <v>494</v>
      </c>
      <c r="AF22" s="2">
        <f t="shared" si="6"/>
        <v>0</v>
      </c>
      <c r="AG22" s="2">
        <f t="shared" si="10"/>
        <v>0</v>
      </c>
      <c r="AH22" s="2">
        <f t="shared" si="18"/>
        <v>0</v>
      </c>
      <c r="AI22" s="2">
        <f t="shared" si="18"/>
        <v>176</v>
      </c>
      <c r="AJ22" s="2">
        <f t="shared" si="18"/>
        <v>176</v>
      </c>
      <c r="AK22" s="2">
        <f t="shared" si="18"/>
        <v>860</v>
      </c>
    </row>
    <row r="23" spans="2:37" x14ac:dyDescent="0.25">
      <c r="B23" s="8" t="s">
        <v>39</v>
      </c>
      <c r="C23" s="2">
        <f t="shared" ref="C23:T23" si="29">C20+C21+C22</f>
        <v>1857</v>
      </c>
      <c r="D23" s="2">
        <f t="shared" si="29"/>
        <v>1770</v>
      </c>
      <c r="E23" s="2">
        <f t="shared" si="29"/>
        <v>1694</v>
      </c>
      <c r="F23" s="2">
        <f t="shared" si="29"/>
        <v>1876</v>
      </c>
      <c r="G23" s="2">
        <f t="shared" si="29"/>
        <v>1847</v>
      </c>
      <c r="H23" s="2">
        <f t="shared" si="29"/>
        <v>2134</v>
      </c>
      <c r="I23" s="2">
        <f t="shared" si="29"/>
        <v>2414</v>
      </c>
      <c r="J23" s="2">
        <f t="shared" si="29"/>
        <v>2374</v>
      </c>
      <c r="K23" s="2">
        <f t="shared" si="29"/>
        <v>2525</v>
      </c>
      <c r="L23" s="2">
        <f t="shared" si="29"/>
        <v>2973</v>
      </c>
      <c r="M23" s="2">
        <f t="shared" si="29"/>
        <v>2280</v>
      </c>
      <c r="N23" s="2">
        <f t="shared" si="29"/>
        <v>2596</v>
      </c>
      <c r="O23" s="2">
        <f t="shared" si="29"/>
        <v>2754</v>
      </c>
      <c r="P23" s="2">
        <f t="shared" si="29"/>
        <v>2955</v>
      </c>
      <c r="Q23" s="2">
        <f t="shared" si="29"/>
        <v>3430</v>
      </c>
      <c r="R23" s="2">
        <f t="shared" si="29"/>
        <v>3600</v>
      </c>
      <c r="S23" s="2">
        <f t="shared" si="29"/>
        <v>3779</v>
      </c>
      <c r="T23" s="2">
        <f t="shared" si="29"/>
        <v>4353</v>
      </c>
      <c r="U23" s="2">
        <f>SUM(U20:U22)</f>
        <v>4178.2404949269985</v>
      </c>
      <c r="V23" s="2">
        <f t="shared" ref="V23:Z23" si="30">SUM(V20:V22)</f>
        <v>3707.7031297992417</v>
      </c>
      <c r="W23" s="2">
        <f t="shared" si="30"/>
        <v>3347.649311415752</v>
      </c>
      <c r="X23" s="2">
        <f t="shared" si="30"/>
        <v>4255.3153571964212</v>
      </c>
      <c r="Y23" s="2">
        <f t="shared" si="30"/>
        <v>4348.9868149246977</v>
      </c>
      <c r="Z23" s="2">
        <f t="shared" si="30"/>
        <v>3886.3300491814507</v>
      </c>
      <c r="AB23" s="2">
        <f t="shared" si="9"/>
        <v>7197</v>
      </c>
      <c r="AC23" s="2">
        <f t="shared" si="12"/>
        <v>8769</v>
      </c>
      <c r="AD23" s="2">
        <f t="shared" si="4"/>
        <v>10374</v>
      </c>
      <c r="AE23" s="2">
        <f t="shared" si="5"/>
        <v>12739</v>
      </c>
      <c r="AF23" s="2">
        <f t="shared" si="6"/>
        <v>16017.94362472624</v>
      </c>
      <c r="AG23" s="2">
        <f t="shared" si="10"/>
        <v>15838.281532718323</v>
      </c>
      <c r="AH23" s="2">
        <f t="shared" si="18"/>
        <v>12490.632221302571</v>
      </c>
      <c r="AI23" s="2">
        <f t="shared" si="18"/>
        <v>15432.316864106149</v>
      </c>
      <c r="AJ23" s="2">
        <f t="shared" si="18"/>
        <v>19852.330049181452</v>
      </c>
      <c r="AK23" s="2">
        <f t="shared" si="18"/>
        <v>26340</v>
      </c>
    </row>
    <row r="24" spans="2:37" x14ac:dyDescent="0.25">
      <c r="B24" s="2" t="s">
        <v>40</v>
      </c>
      <c r="C24" s="2">
        <f t="shared" ref="C24:T24" si="31">C19-C23</f>
        <v>3603</v>
      </c>
      <c r="D24" s="2">
        <f t="shared" si="31"/>
        <v>2464</v>
      </c>
      <c r="E24" s="2">
        <f t="shared" si="31"/>
        <v>3688</v>
      </c>
      <c r="F24" s="2">
        <f t="shared" si="31"/>
        <v>3901</v>
      </c>
      <c r="G24" s="2">
        <f t="shared" si="31"/>
        <v>2664</v>
      </c>
      <c r="H24" s="2">
        <f t="shared" si="31"/>
        <v>2399</v>
      </c>
      <c r="I24" s="2">
        <f t="shared" si="31"/>
        <v>1764</v>
      </c>
      <c r="J24" s="2">
        <f t="shared" si="31"/>
        <v>2064</v>
      </c>
      <c r="K24" s="2">
        <f t="shared" si="31"/>
        <v>1171</v>
      </c>
      <c r="L24" s="2">
        <f t="shared" si="31"/>
        <v>1605</v>
      </c>
      <c r="M24" s="2">
        <f t="shared" si="31"/>
        <v>2717</v>
      </c>
      <c r="N24" s="2">
        <f t="shared" si="31"/>
        <v>1583</v>
      </c>
      <c r="O24" s="2">
        <f t="shared" si="31"/>
        <v>399</v>
      </c>
      <c r="P24" s="2">
        <f t="shared" si="31"/>
        <v>923</v>
      </c>
      <c r="Q24" s="2">
        <f t="shared" si="31"/>
        <v>1624</v>
      </c>
      <c r="R24" s="2">
        <f t="shared" si="31"/>
        <v>1409</v>
      </c>
      <c r="S24" s="2">
        <f t="shared" si="31"/>
        <v>941</v>
      </c>
      <c r="T24" s="2">
        <f t="shared" si="31"/>
        <v>398</v>
      </c>
      <c r="U24" s="2">
        <f>U19-U23</f>
        <v>1580.430920187704</v>
      </c>
      <c r="V24" s="2">
        <f t="shared" ref="V24:Z24" si="32">V19-V23</f>
        <v>1412.2228936434276</v>
      </c>
      <c r="W24" s="2">
        <f t="shared" si="32"/>
        <v>1147.5103868193228</v>
      </c>
      <c r="X24" s="2">
        <f t="shared" si="32"/>
        <v>1403.6804549350127</v>
      </c>
      <c r="Y24" s="2">
        <f t="shared" si="32"/>
        <v>1574.608536279462</v>
      </c>
      <c r="Z24" s="2">
        <f t="shared" si="32"/>
        <v>1548.4192957901769</v>
      </c>
      <c r="AB24" s="2">
        <f t="shared" si="9"/>
        <v>13656</v>
      </c>
      <c r="AC24" s="2">
        <f t="shared" si="12"/>
        <v>8891</v>
      </c>
      <c r="AD24" s="2">
        <f t="shared" si="4"/>
        <v>7076</v>
      </c>
      <c r="AE24" s="2">
        <f t="shared" si="5"/>
        <v>4355</v>
      </c>
      <c r="AF24" s="2">
        <f t="shared" si="6"/>
        <v>4331.6538138311316</v>
      </c>
      <c r="AG24" s="2">
        <f t="shared" si="10"/>
        <v>5674.2186738239743</v>
      </c>
      <c r="AH24" s="2">
        <f t="shared" ref="AH24:AH32" si="33">SUM(X24:AA24)</f>
        <v>4526.7082870046515</v>
      </c>
      <c r="AI24" s="2">
        <f t="shared" ref="AI24:AI32" si="34">SUM(Y24:AB24)</f>
        <v>16779.027832069638</v>
      </c>
      <c r="AJ24" s="2">
        <f t="shared" ref="AJ24:AJ32" si="35">SUM(Z24:AC24)</f>
        <v>24095.419295790176</v>
      </c>
      <c r="AK24" s="2">
        <f t="shared" ref="AK24:AK32" si="36">SUM(AA24:AD24)</f>
        <v>29623</v>
      </c>
    </row>
    <row r="25" spans="2:37" x14ac:dyDescent="0.25">
      <c r="B25" s="2" t="s">
        <v>41</v>
      </c>
      <c r="C25" s="2">
        <v>28</v>
      </c>
      <c r="D25" s="2">
        <v>26</v>
      </c>
      <c r="E25" s="2">
        <v>86</v>
      </c>
      <c r="F25" s="7">
        <v>157</v>
      </c>
      <c r="G25" s="2">
        <v>213</v>
      </c>
      <c r="H25" s="2">
        <v>238</v>
      </c>
      <c r="I25" s="2">
        <v>282</v>
      </c>
      <c r="J25" s="7">
        <v>333</v>
      </c>
      <c r="K25" s="2">
        <v>350</v>
      </c>
      <c r="L25" s="2">
        <v>348</v>
      </c>
      <c r="M25" s="2">
        <v>429</v>
      </c>
      <c r="N25" s="7">
        <v>442</v>
      </c>
      <c r="O25" s="2">
        <v>400</v>
      </c>
      <c r="P25" s="2">
        <v>392</v>
      </c>
      <c r="Q25" s="2">
        <v>439</v>
      </c>
      <c r="R25" s="7">
        <v>449</v>
      </c>
      <c r="S25" s="2">
        <v>434</v>
      </c>
      <c r="T25" s="2">
        <v>422</v>
      </c>
      <c r="U25" s="2">
        <f>AVERAGE(Q25:T25)</f>
        <v>436</v>
      </c>
      <c r="V25" s="2">
        <f>U25</f>
        <v>436</v>
      </c>
      <c r="W25" s="2">
        <f t="shared" ref="W25:Z25" si="37">V25</f>
        <v>436</v>
      </c>
      <c r="X25" s="2">
        <f t="shared" si="37"/>
        <v>436</v>
      </c>
      <c r="Y25" s="2">
        <f t="shared" si="37"/>
        <v>436</v>
      </c>
      <c r="Z25" s="2">
        <f t="shared" si="37"/>
        <v>436</v>
      </c>
      <c r="AB25" s="2">
        <f t="shared" si="9"/>
        <v>297</v>
      </c>
      <c r="AC25" s="2">
        <f t="shared" si="12"/>
        <v>1066</v>
      </c>
      <c r="AD25" s="2">
        <f t="shared" si="4"/>
        <v>1569</v>
      </c>
      <c r="AE25" s="2">
        <f t="shared" si="5"/>
        <v>1680</v>
      </c>
      <c r="AF25" s="2">
        <f t="shared" si="6"/>
        <v>1728</v>
      </c>
      <c r="AG25" s="2">
        <f t="shared" si="10"/>
        <v>1744</v>
      </c>
      <c r="AH25" s="2">
        <f t="shared" si="33"/>
        <v>1308</v>
      </c>
      <c r="AI25" s="2">
        <f t="shared" si="34"/>
        <v>1169</v>
      </c>
      <c r="AJ25" s="2">
        <f t="shared" si="35"/>
        <v>1799</v>
      </c>
      <c r="AK25" s="2">
        <f t="shared" si="36"/>
        <v>2932</v>
      </c>
    </row>
    <row r="26" spans="2:37" x14ac:dyDescent="0.25">
      <c r="B26" s="2" t="s">
        <v>42</v>
      </c>
      <c r="C26" s="2">
        <v>-61</v>
      </c>
      <c r="D26" s="2">
        <v>-44</v>
      </c>
      <c r="E26" s="2">
        <v>-53</v>
      </c>
      <c r="F26" s="7">
        <v>-33</v>
      </c>
      <c r="G26" s="2">
        <v>-29</v>
      </c>
      <c r="H26" s="2">
        <v>-28</v>
      </c>
      <c r="I26" s="2">
        <v>-38</v>
      </c>
      <c r="J26" s="7">
        <v>-61</v>
      </c>
      <c r="K26" s="2">
        <v>-76</v>
      </c>
      <c r="L26" s="2">
        <v>-86</v>
      </c>
      <c r="M26" s="2">
        <v>-92</v>
      </c>
      <c r="N26" s="7">
        <v>-96</v>
      </c>
      <c r="O26" s="2">
        <v>-91</v>
      </c>
      <c r="P26" s="2">
        <v>-86</v>
      </c>
      <c r="Q26" s="2">
        <v>-76</v>
      </c>
      <c r="R26" s="7">
        <v>-85</v>
      </c>
      <c r="S26" s="2">
        <v>-92</v>
      </c>
      <c r="T26" s="2">
        <v>-81</v>
      </c>
      <c r="U26" s="2">
        <f t="shared" ref="U26" si="38">AVERAGE(Q26:T26)</f>
        <v>-83.5</v>
      </c>
      <c r="V26" s="2">
        <f>U26</f>
        <v>-83.5</v>
      </c>
      <c r="W26" s="2">
        <f t="shared" ref="W26:Z26" si="39">V26</f>
        <v>-83.5</v>
      </c>
      <c r="X26" s="2">
        <f t="shared" si="39"/>
        <v>-83.5</v>
      </c>
      <c r="Y26" s="2">
        <f t="shared" si="39"/>
        <v>-83.5</v>
      </c>
      <c r="Z26" s="2">
        <f t="shared" si="39"/>
        <v>-83.5</v>
      </c>
      <c r="AB26" s="2">
        <f t="shared" si="9"/>
        <v>-191</v>
      </c>
      <c r="AC26" s="2">
        <f t="shared" si="12"/>
        <v>-156</v>
      </c>
      <c r="AD26" s="2">
        <f t="shared" si="4"/>
        <v>-350</v>
      </c>
      <c r="AE26" s="2">
        <f t="shared" si="5"/>
        <v>-338</v>
      </c>
      <c r="AF26" s="2">
        <f t="shared" si="6"/>
        <v>-340</v>
      </c>
      <c r="AG26" s="2">
        <f t="shared" si="10"/>
        <v>-334</v>
      </c>
      <c r="AH26" s="2">
        <f t="shared" si="33"/>
        <v>-250.5</v>
      </c>
      <c r="AI26" s="2">
        <f t="shared" si="34"/>
        <v>-358</v>
      </c>
      <c r="AJ26" s="2">
        <f t="shared" si="35"/>
        <v>-430.5</v>
      </c>
      <c r="AK26" s="2">
        <f t="shared" si="36"/>
        <v>-697</v>
      </c>
    </row>
    <row r="27" spans="2:37" x14ac:dyDescent="0.25">
      <c r="B27" s="2" t="s">
        <v>43</v>
      </c>
      <c r="C27" s="2">
        <v>56</v>
      </c>
      <c r="D27" s="2">
        <v>28</v>
      </c>
      <c r="E27" s="2">
        <v>-85</v>
      </c>
      <c r="F27" s="7">
        <v>-42</v>
      </c>
      <c r="G27" s="2">
        <v>-48</v>
      </c>
      <c r="H27" s="2">
        <v>328</v>
      </c>
      <c r="I27" s="2">
        <v>37</v>
      </c>
      <c r="J27" s="7">
        <v>-145</v>
      </c>
      <c r="K27" s="2">
        <v>108</v>
      </c>
      <c r="L27" s="2">
        <v>20</v>
      </c>
      <c r="M27" s="2">
        <v>-263</v>
      </c>
      <c r="N27" s="7">
        <v>830</v>
      </c>
      <c r="O27" s="2">
        <v>-119</v>
      </c>
      <c r="P27" s="2">
        <v>320</v>
      </c>
      <c r="Q27" s="2">
        <v>-28</v>
      </c>
      <c r="R27" s="7">
        <v>-592</v>
      </c>
      <c r="S27" s="2">
        <v>-535</v>
      </c>
      <c r="T27" s="2">
        <v>590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B27" s="2">
        <f t="shared" si="9"/>
        <v>-43</v>
      </c>
      <c r="AC27" s="2">
        <f t="shared" si="12"/>
        <v>172</v>
      </c>
      <c r="AD27" s="2">
        <f t="shared" si="4"/>
        <v>695</v>
      </c>
      <c r="AE27" s="2">
        <f t="shared" si="5"/>
        <v>-419</v>
      </c>
      <c r="AF27" s="2">
        <f t="shared" si="6"/>
        <v>55</v>
      </c>
      <c r="AG27" s="2">
        <f t="shared" si="10"/>
        <v>0</v>
      </c>
      <c r="AH27" s="2">
        <f t="shared" si="33"/>
        <v>0</v>
      </c>
      <c r="AI27" s="2">
        <f t="shared" si="34"/>
        <v>-43</v>
      </c>
      <c r="AJ27" s="2">
        <f t="shared" si="35"/>
        <v>129</v>
      </c>
      <c r="AK27" s="2">
        <f t="shared" si="36"/>
        <v>824</v>
      </c>
    </row>
    <row r="28" spans="2:37" x14ac:dyDescent="0.25">
      <c r="B28" s="8" t="s">
        <v>44</v>
      </c>
      <c r="C28" s="2">
        <f t="shared" ref="C28:T28" si="40">C24+C25+C26+C27</f>
        <v>3626</v>
      </c>
      <c r="D28" s="2">
        <f t="shared" si="40"/>
        <v>2474</v>
      </c>
      <c r="E28" s="2">
        <f t="shared" si="40"/>
        <v>3636</v>
      </c>
      <c r="F28" s="2">
        <f t="shared" si="40"/>
        <v>3983</v>
      </c>
      <c r="G28" s="2">
        <f t="shared" si="40"/>
        <v>2800</v>
      </c>
      <c r="H28" s="2">
        <f t="shared" si="40"/>
        <v>2937</v>
      </c>
      <c r="I28" s="2">
        <f t="shared" si="40"/>
        <v>2045</v>
      </c>
      <c r="J28" s="2">
        <f t="shared" si="40"/>
        <v>2191</v>
      </c>
      <c r="K28" s="2">
        <f t="shared" si="40"/>
        <v>1553</v>
      </c>
      <c r="L28" s="2">
        <f t="shared" si="40"/>
        <v>1887</v>
      </c>
      <c r="M28" s="2">
        <f t="shared" si="40"/>
        <v>2791</v>
      </c>
      <c r="N28" s="2">
        <f t="shared" si="40"/>
        <v>2759</v>
      </c>
      <c r="O28" s="2">
        <f t="shared" si="40"/>
        <v>589</v>
      </c>
      <c r="P28" s="2">
        <f t="shared" si="40"/>
        <v>1549</v>
      </c>
      <c r="Q28" s="2">
        <f t="shared" si="40"/>
        <v>1959</v>
      </c>
      <c r="R28" s="2">
        <f t="shared" si="40"/>
        <v>1181</v>
      </c>
      <c r="S28" s="2">
        <f t="shared" si="40"/>
        <v>748</v>
      </c>
      <c r="T28" s="2">
        <f t="shared" si="40"/>
        <v>1329</v>
      </c>
      <c r="U28" s="2">
        <f>SUM(U24:U27)</f>
        <v>1932.930920187704</v>
      </c>
      <c r="V28" s="2">
        <f t="shared" ref="V28:Z28" si="41">SUM(V24:V27)</f>
        <v>1764.7228936434276</v>
      </c>
      <c r="W28" s="2">
        <f t="shared" si="41"/>
        <v>1500.0103868193228</v>
      </c>
      <c r="X28" s="2">
        <f t="shared" si="41"/>
        <v>1756.1804549350127</v>
      </c>
      <c r="Y28" s="2">
        <f t="shared" si="41"/>
        <v>1927.108536279462</v>
      </c>
      <c r="Z28" s="2">
        <f t="shared" si="41"/>
        <v>1900.9192957901769</v>
      </c>
      <c r="AB28" s="2">
        <f t="shared" si="9"/>
        <v>13719</v>
      </c>
      <c r="AC28" s="2">
        <f t="shared" si="12"/>
        <v>9973</v>
      </c>
      <c r="AD28" s="2">
        <f t="shared" si="4"/>
        <v>8990</v>
      </c>
      <c r="AE28" s="2">
        <f t="shared" si="5"/>
        <v>5278</v>
      </c>
      <c r="AF28" s="2">
        <f t="shared" si="6"/>
        <v>5774.6538138311316</v>
      </c>
      <c r="AG28" s="2">
        <f t="shared" si="10"/>
        <v>7084.2186738239743</v>
      </c>
      <c r="AH28" s="2">
        <f t="shared" si="33"/>
        <v>5584.2082870046515</v>
      </c>
      <c r="AI28" s="2">
        <f t="shared" si="34"/>
        <v>17547.027832069638</v>
      </c>
      <c r="AJ28" s="2">
        <f t="shared" si="35"/>
        <v>25592.919295790176</v>
      </c>
      <c r="AK28" s="2">
        <f t="shared" si="36"/>
        <v>32682</v>
      </c>
    </row>
    <row r="29" spans="2:37" x14ac:dyDescent="0.25">
      <c r="B29" s="2" t="s">
        <v>45</v>
      </c>
      <c r="C29" s="2">
        <v>346</v>
      </c>
      <c r="D29" s="2">
        <v>205</v>
      </c>
      <c r="E29" s="2">
        <v>305</v>
      </c>
      <c r="F29" s="7">
        <v>276</v>
      </c>
      <c r="G29" s="2">
        <v>261</v>
      </c>
      <c r="H29" s="2">
        <v>323</v>
      </c>
      <c r="I29" s="2">
        <v>167</v>
      </c>
      <c r="J29" s="7">
        <v>-5752</v>
      </c>
      <c r="K29" s="2">
        <v>409</v>
      </c>
      <c r="L29" s="2">
        <v>393</v>
      </c>
      <c r="M29" s="2">
        <v>602</v>
      </c>
      <c r="N29" s="7">
        <v>433</v>
      </c>
      <c r="O29" s="2">
        <v>169</v>
      </c>
      <c r="P29" s="2">
        <v>359</v>
      </c>
      <c r="Q29" s="2">
        <v>570</v>
      </c>
      <c r="R29" s="7">
        <v>325</v>
      </c>
      <c r="S29" s="2">
        <v>257</v>
      </c>
      <c r="T29" s="2">
        <v>201</v>
      </c>
      <c r="U29" s="2">
        <f>U28*U54</f>
        <v>512.70012524213905</v>
      </c>
      <c r="V29" s="2">
        <f t="shared" ref="V29:Z29" si="42">V28*V54</f>
        <v>468.08379913587083</v>
      </c>
      <c r="W29" s="2">
        <f t="shared" si="42"/>
        <v>397.87014898188619</v>
      </c>
      <c r="X29" s="2">
        <f t="shared" si="42"/>
        <v>465.81796058471753</v>
      </c>
      <c r="Y29" s="2">
        <f t="shared" si="42"/>
        <v>511.15576743411469</v>
      </c>
      <c r="Z29" s="2">
        <f t="shared" si="42"/>
        <v>504.20920419244999</v>
      </c>
      <c r="AB29" s="2">
        <f t="shared" si="9"/>
        <v>1132</v>
      </c>
      <c r="AC29" s="2">
        <f t="shared" si="12"/>
        <v>-5001</v>
      </c>
      <c r="AD29" s="2">
        <f t="shared" si="4"/>
        <v>1837</v>
      </c>
      <c r="AE29" s="2">
        <f t="shared" si="5"/>
        <v>1423</v>
      </c>
      <c r="AF29" s="2">
        <f t="shared" si="6"/>
        <v>1438.7839243780099</v>
      </c>
      <c r="AG29" s="2">
        <f t="shared" si="10"/>
        <v>1879.0530811931685</v>
      </c>
      <c r="AH29" s="2">
        <f t="shared" si="33"/>
        <v>1481.1829322112822</v>
      </c>
      <c r="AI29" s="2">
        <f t="shared" si="34"/>
        <v>2147.3649716265645</v>
      </c>
      <c r="AJ29" s="2">
        <f t="shared" si="35"/>
        <v>-3364.7907958075502</v>
      </c>
      <c r="AK29" s="2">
        <f t="shared" si="36"/>
        <v>-2032</v>
      </c>
    </row>
    <row r="30" spans="2:37" x14ac:dyDescent="0.25">
      <c r="B30" s="8" t="s">
        <v>46</v>
      </c>
      <c r="C30" s="2">
        <f t="shared" ref="C30:T30" si="43">C28-C29</f>
        <v>3280</v>
      </c>
      <c r="D30" s="2">
        <f t="shared" si="43"/>
        <v>2269</v>
      </c>
      <c r="E30" s="2">
        <f t="shared" si="43"/>
        <v>3331</v>
      </c>
      <c r="F30" s="2">
        <f t="shared" si="43"/>
        <v>3707</v>
      </c>
      <c r="G30" s="2">
        <f t="shared" si="43"/>
        <v>2539</v>
      </c>
      <c r="H30" s="2">
        <f t="shared" si="43"/>
        <v>2614</v>
      </c>
      <c r="I30" s="2">
        <f t="shared" si="43"/>
        <v>1878</v>
      </c>
      <c r="J30" s="2">
        <f t="shared" si="43"/>
        <v>7943</v>
      </c>
      <c r="K30" s="2">
        <f t="shared" si="43"/>
        <v>1144</v>
      </c>
      <c r="L30" s="2">
        <f t="shared" si="43"/>
        <v>1494</v>
      </c>
      <c r="M30" s="2">
        <f t="shared" si="43"/>
        <v>2189</v>
      </c>
      <c r="N30" s="2">
        <f t="shared" si="43"/>
        <v>2326</v>
      </c>
      <c r="O30" s="2">
        <f t="shared" si="43"/>
        <v>420</v>
      </c>
      <c r="P30" s="2">
        <f t="shared" si="43"/>
        <v>1190</v>
      </c>
      <c r="Q30" s="2">
        <f t="shared" si="43"/>
        <v>1389</v>
      </c>
      <c r="R30" s="2">
        <f t="shared" si="43"/>
        <v>856</v>
      </c>
      <c r="S30" s="2">
        <f t="shared" si="43"/>
        <v>491</v>
      </c>
      <c r="T30" s="2">
        <f t="shared" si="43"/>
        <v>1128</v>
      </c>
      <c r="U30" s="2">
        <f>U28-U29</f>
        <v>1420.2307949455649</v>
      </c>
      <c r="V30" s="2">
        <f t="shared" ref="V30:Z30" si="44">V28-V29</f>
        <v>1296.6390945075568</v>
      </c>
      <c r="W30" s="2">
        <f t="shared" si="44"/>
        <v>1102.1402378374366</v>
      </c>
      <c r="X30" s="2">
        <f t="shared" si="44"/>
        <v>1290.362494350295</v>
      </c>
      <c r="Y30" s="2">
        <f t="shared" si="44"/>
        <v>1415.9527688453472</v>
      </c>
      <c r="Z30" s="2">
        <f t="shared" si="44"/>
        <v>1396.7100915977269</v>
      </c>
      <c r="AB30" s="2">
        <f t="shared" si="9"/>
        <v>12587</v>
      </c>
      <c r="AC30" s="2">
        <f t="shared" si="12"/>
        <v>14974</v>
      </c>
      <c r="AD30" s="2">
        <f t="shared" si="4"/>
        <v>7153</v>
      </c>
      <c r="AE30" s="2">
        <f t="shared" si="5"/>
        <v>3855</v>
      </c>
      <c r="AF30" s="2">
        <f t="shared" si="6"/>
        <v>4335.8698894531217</v>
      </c>
      <c r="AG30" s="2">
        <f t="shared" si="10"/>
        <v>5205.1655926308058</v>
      </c>
      <c r="AH30" s="2">
        <f t="shared" si="33"/>
        <v>4103.0253547933689</v>
      </c>
      <c r="AI30" s="2">
        <f t="shared" si="34"/>
        <v>15399.662860443073</v>
      </c>
      <c r="AJ30" s="2">
        <f t="shared" si="35"/>
        <v>28957.710091597728</v>
      </c>
      <c r="AK30" s="2">
        <f t="shared" si="36"/>
        <v>34714</v>
      </c>
    </row>
    <row r="31" spans="2:37" x14ac:dyDescent="0.25">
      <c r="B31" s="2" t="s">
        <v>47</v>
      </c>
      <c r="C31" s="2">
        <v>-38</v>
      </c>
      <c r="D31" s="2">
        <v>10</v>
      </c>
      <c r="E31" s="2">
        <v>39</v>
      </c>
      <c r="F31" s="7">
        <v>20</v>
      </c>
      <c r="G31" s="2">
        <v>26</v>
      </c>
      <c r="H31" s="2">
        <v>-89</v>
      </c>
      <c r="I31" s="2">
        <v>25</v>
      </c>
      <c r="J31" s="7">
        <v>15</v>
      </c>
      <c r="K31" s="2">
        <v>15</v>
      </c>
      <c r="L31" s="2">
        <v>16</v>
      </c>
      <c r="M31" s="2">
        <v>16</v>
      </c>
      <c r="N31" s="7">
        <v>15</v>
      </c>
      <c r="O31" s="2">
        <v>11</v>
      </c>
      <c r="P31" s="2">
        <v>18</v>
      </c>
      <c r="Q31" s="2">
        <v>16</v>
      </c>
      <c r="R31" s="7">
        <v>16</v>
      </c>
      <c r="S31" s="2">
        <v>491</v>
      </c>
      <c r="T31" s="2">
        <v>14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B31" s="2">
        <f t="shared" si="9"/>
        <v>31</v>
      </c>
      <c r="AC31" s="2">
        <f t="shared" si="12"/>
        <v>-23</v>
      </c>
      <c r="AD31" s="2">
        <f t="shared" si="4"/>
        <v>62</v>
      </c>
      <c r="AE31" s="2">
        <f t="shared" si="5"/>
        <v>61</v>
      </c>
      <c r="AF31" s="2">
        <f t="shared" si="6"/>
        <v>505</v>
      </c>
      <c r="AG31" s="2">
        <f t="shared" si="10"/>
        <v>0</v>
      </c>
      <c r="AH31" s="2">
        <f t="shared" si="33"/>
        <v>0</v>
      </c>
      <c r="AI31" s="2">
        <f t="shared" si="34"/>
        <v>31</v>
      </c>
      <c r="AJ31" s="2">
        <f t="shared" si="35"/>
        <v>8</v>
      </c>
      <c r="AK31" s="2">
        <f t="shared" si="36"/>
        <v>70</v>
      </c>
    </row>
    <row r="32" spans="2:37" x14ac:dyDescent="0.25">
      <c r="B32" s="2" t="s">
        <v>48</v>
      </c>
      <c r="C32" s="2">
        <f t="shared" ref="C32:R32" si="45">C30-C31</f>
        <v>3318</v>
      </c>
      <c r="D32" s="2">
        <f t="shared" si="45"/>
        <v>2259</v>
      </c>
      <c r="E32" s="2">
        <f t="shared" si="45"/>
        <v>3292</v>
      </c>
      <c r="F32" s="2">
        <f t="shared" si="45"/>
        <v>3687</v>
      </c>
      <c r="G32" s="2">
        <f t="shared" si="45"/>
        <v>2513</v>
      </c>
      <c r="H32" s="2">
        <f t="shared" si="45"/>
        <v>2703</v>
      </c>
      <c r="I32" s="2">
        <f t="shared" si="45"/>
        <v>1853</v>
      </c>
      <c r="J32" s="2">
        <f t="shared" si="45"/>
        <v>7928</v>
      </c>
      <c r="K32" s="2">
        <f t="shared" si="45"/>
        <v>1129</v>
      </c>
      <c r="L32" s="2">
        <f t="shared" si="45"/>
        <v>1478</v>
      </c>
      <c r="M32" s="2">
        <f t="shared" si="45"/>
        <v>2173</v>
      </c>
      <c r="N32" s="2">
        <f t="shared" si="45"/>
        <v>2311</v>
      </c>
      <c r="O32" s="2">
        <f t="shared" si="45"/>
        <v>409</v>
      </c>
      <c r="P32" s="2">
        <f t="shared" si="45"/>
        <v>1172</v>
      </c>
      <c r="Q32" s="2">
        <f t="shared" si="45"/>
        <v>1373</v>
      </c>
      <c r="R32" s="2">
        <f t="shared" si="45"/>
        <v>840</v>
      </c>
      <c r="S32" s="2">
        <v>477</v>
      </c>
      <c r="T32" s="2">
        <f>T30-T31</f>
        <v>1114</v>
      </c>
      <c r="U32" s="2">
        <f>U30-U31</f>
        <v>1420.2307949455649</v>
      </c>
      <c r="V32" s="2">
        <f t="shared" ref="V32:Z32" si="46">V30-V31</f>
        <v>1296.6390945075568</v>
      </c>
      <c r="W32" s="2">
        <f t="shared" si="46"/>
        <v>1102.1402378374366</v>
      </c>
      <c r="X32" s="2">
        <f t="shared" si="46"/>
        <v>1290.362494350295</v>
      </c>
      <c r="Y32" s="2">
        <f t="shared" si="46"/>
        <v>1415.9527688453472</v>
      </c>
      <c r="Z32" s="2">
        <f t="shared" si="46"/>
        <v>1396.7100915977269</v>
      </c>
      <c r="AB32" s="2">
        <f t="shared" si="9"/>
        <v>12556</v>
      </c>
      <c r="AC32" s="2">
        <f t="shared" si="12"/>
        <v>14997</v>
      </c>
      <c r="AD32" s="2">
        <f>SUM(K32:N32)</f>
        <v>7091</v>
      </c>
      <c r="AE32" s="2">
        <f>SUM(O32:R32)</f>
        <v>3794</v>
      </c>
      <c r="AF32" s="2">
        <f t="shared" si="6"/>
        <v>4307.8698894531217</v>
      </c>
      <c r="AG32" s="2">
        <f t="shared" si="10"/>
        <v>5205.1655926308058</v>
      </c>
      <c r="AH32" s="2">
        <f t="shared" si="33"/>
        <v>4103.0253547933689</v>
      </c>
      <c r="AI32" s="2">
        <f t="shared" si="34"/>
        <v>15368.662860443073</v>
      </c>
      <c r="AJ32" s="2">
        <f t="shared" si="35"/>
        <v>28949.710091597728</v>
      </c>
      <c r="AK32" s="2">
        <f t="shared" si="36"/>
        <v>34644</v>
      </c>
    </row>
    <row r="33" spans="1:37" x14ac:dyDescent="0.25">
      <c r="B33" s="8" t="s">
        <v>80</v>
      </c>
      <c r="C33" s="2">
        <f t="shared" ref="C33:T33" si="47">C32/C34</f>
        <v>1.0696324951644101</v>
      </c>
      <c r="D33" s="2">
        <f>D32/D34</f>
        <v>0.72613307618129219</v>
      </c>
      <c r="E33" s="2">
        <f t="shared" si="47"/>
        <v>1.0464081373172283</v>
      </c>
      <c r="F33" s="2">
        <f t="shared" si="47"/>
        <v>1.1719643992371265</v>
      </c>
      <c r="G33" s="2">
        <f t="shared" si="47"/>
        <v>0.79374605180037905</v>
      </c>
      <c r="H33" s="2">
        <f t="shared" si="47"/>
        <v>0.85375868603916616</v>
      </c>
      <c r="I33" s="2">
        <f t="shared" si="47"/>
        <v>0.58343828715365242</v>
      </c>
      <c r="J33" s="2">
        <f t="shared" si="47"/>
        <v>2.4962216624685141</v>
      </c>
      <c r="K33" s="2">
        <f t="shared" si="47"/>
        <v>0.35436283741368485</v>
      </c>
      <c r="L33" s="2">
        <f t="shared" si="47"/>
        <v>0.46317768724537761</v>
      </c>
      <c r="M33" s="2">
        <f t="shared" si="47"/>
        <v>0.67948717948717952</v>
      </c>
      <c r="N33" s="2">
        <f t="shared" si="47"/>
        <v>0.72263914946841779</v>
      </c>
      <c r="O33" s="2">
        <f t="shared" si="47"/>
        <v>0.12709757613424488</v>
      </c>
      <c r="P33" s="2">
        <f t="shared" si="47"/>
        <v>0.36363636363636365</v>
      </c>
      <c r="Q33" s="2">
        <f t="shared" si="47"/>
        <v>0.42933083176985615</v>
      </c>
      <c r="R33" s="2">
        <f t="shared" si="47"/>
        <v>0.26266416510318952</v>
      </c>
      <c r="S33" s="2">
        <f t="shared" si="47"/>
        <v>0.14749536178107606</v>
      </c>
      <c r="T33" s="2">
        <f t="shared" si="47"/>
        <v>0.34414581402533212</v>
      </c>
      <c r="U33" s="2">
        <f>U32/U34</f>
        <v>0.43874908710088506</v>
      </c>
      <c r="V33" s="2">
        <f t="shared" ref="V33:Z33" si="48">V32/V34</f>
        <v>0.40056814782439198</v>
      </c>
      <c r="W33" s="2">
        <f t="shared" si="48"/>
        <v>0.34048200118549171</v>
      </c>
      <c r="X33" s="2">
        <f t="shared" si="48"/>
        <v>0.39862913016691226</v>
      </c>
      <c r="Y33" s="2">
        <f t="shared" si="48"/>
        <v>0.43742748496921446</v>
      </c>
      <c r="Z33" s="2">
        <f t="shared" si="48"/>
        <v>0.43148288279200708</v>
      </c>
      <c r="AB33" s="2">
        <f t="shared" ref="AB33:AG33" si="49">AB32/AB34</f>
        <v>4.0163134746101559</v>
      </c>
      <c r="AC33" s="2">
        <f t="shared" si="49"/>
        <v>4.7294228949858086</v>
      </c>
      <c r="AD33" s="2">
        <f t="shared" si="49"/>
        <v>2.2206216237375713</v>
      </c>
      <c r="AE33" s="2">
        <f t="shared" si="49"/>
        <v>1.1822076809223339</v>
      </c>
      <c r="AF33" s="2">
        <f t="shared" si="49"/>
        <v>1.3308217143815637</v>
      </c>
      <c r="AG33" s="2">
        <f t="shared" si="49"/>
        <v>1.6080214991136255</v>
      </c>
      <c r="AH33" s="2">
        <f t="shared" ref="AH33:AK33" si="50">AH32/AH34</f>
        <v>1.2675394979281338</v>
      </c>
      <c r="AI33" s="2">
        <f t="shared" si="50"/>
        <v>4.7478105840108356</v>
      </c>
      <c r="AJ33" s="2">
        <f t="shared" si="50"/>
        <v>8.9433766115532052</v>
      </c>
      <c r="AK33" s="2">
        <f t="shared" si="50"/>
        <v>10.702502316960148</v>
      </c>
    </row>
    <row r="34" spans="1:37" x14ac:dyDescent="0.25">
      <c r="B34" s="2" t="s">
        <v>49</v>
      </c>
      <c r="C34" s="2">
        <f>3*1034</f>
        <v>3102</v>
      </c>
      <c r="D34" s="2">
        <f>1037*3</f>
        <v>3111</v>
      </c>
      <c r="E34" s="2">
        <v>3146</v>
      </c>
      <c r="F34" s="2">
        <v>3146</v>
      </c>
      <c r="G34" s="2">
        <v>3166</v>
      </c>
      <c r="H34" s="2">
        <v>3166</v>
      </c>
      <c r="I34" s="2">
        <v>3176</v>
      </c>
      <c r="J34" s="2">
        <v>3176</v>
      </c>
      <c r="K34" s="2">
        <v>3186</v>
      </c>
      <c r="L34" s="2">
        <v>3191</v>
      </c>
      <c r="M34" s="2">
        <v>3198</v>
      </c>
      <c r="N34" s="2">
        <v>3198</v>
      </c>
      <c r="O34" s="2">
        <v>3218</v>
      </c>
      <c r="P34" s="2">
        <v>3223</v>
      </c>
      <c r="Q34" s="2">
        <v>3198</v>
      </c>
      <c r="R34" s="2">
        <v>3198</v>
      </c>
      <c r="S34" s="2">
        <v>3234</v>
      </c>
      <c r="T34" s="2">
        <v>3237</v>
      </c>
      <c r="U34" s="2">
        <v>3237</v>
      </c>
      <c r="V34" s="2">
        <v>3237</v>
      </c>
      <c r="W34" s="2">
        <v>3237</v>
      </c>
      <c r="X34" s="2">
        <v>3237</v>
      </c>
      <c r="Y34" s="2">
        <v>3237</v>
      </c>
      <c r="Z34" s="2">
        <v>3237</v>
      </c>
      <c r="AB34" s="2">
        <f t="shared" ref="AB34:AB36" si="51">AVERAGE(C34:F34)</f>
        <v>3126.25</v>
      </c>
      <c r="AC34" s="2">
        <f t="shared" ref="AC34:AC36" si="52">AVERAGE(G34:J34)</f>
        <v>3171</v>
      </c>
      <c r="AD34" s="2">
        <f>AVERAGE(K34:N34)</f>
        <v>3193.25</v>
      </c>
      <c r="AE34" s="2">
        <f t="shared" ref="AE34:AE36" si="53">AVERAGE(O34:R34)</f>
        <v>3209.25</v>
      </c>
      <c r="AF34" s="2">
        <v>3237</v>
      </c>
      <c r="AG34" s="2">
        <v>3237</v>
      </c>
      <c r="AH34" s="2">
        <v>3237</v>
      </c>
      <c r="AI34" s="2">
        <v>3237</v>
      </c>
      <c r="AJ34" s="2">
        <v>3237</v>
      </c>
      <c r="AK34" s="2">
        <v>3237</v>
      </c>
    </row>
    <row r="35" spans="1:37" x14ac:dyDescent="0.25">
      <c r="B35" s="8" t="s">
        <v>50</v>
      </c>
      <c r="C35" s="2">
        <f t="shared" ref="C35:T35" si="54">C32/C36</f>
        <v>0.95592048401037166</v>
      </c>
      <c r="D35" s="2">
        <f t="shared" si="54"/>
        <v>0.65194805194805194</v>
      </c>
      <c r="E35" s="2">
        <f t="shared" si="54"/>
        <v>0.94925028835063441</v>
      </c>
      <c r="F35" s="2">
        <f t="shared" si="54"/>
        <v>1.0631487889273357</v>
      </c>
      <c r="G35" s="2">
        <f t="shared" si="54"/>
        <v>0.7246251441753172</v>
      </c>
      <c r="H35" s="2">
        <f t="shared" si="54"/>
        <v>0.77941176470588236</v>
      </c>
      <c r="I35" s="2">
        <f t="shared" si="54"/>
        <v>0.53048955052963065</v>
      </c>
      <c r="J35" s="2">
        <f t="shared" si="54"/>
        <v>2.2696822215860291</v>
      </c>
      <c r="K35" s="2">
        <f t="shared" si="54"/>
        <v>0.32405281285878301</v>
      </c>
      <c r="L35" s="2">
        <f t="shared" si="54"/>
        <v>0.4245906348750359</v>
      </c>
      <c r="M35" s="2">
        <f t="shared" si="54"/>
        <v>0.62138976265370316</v>
      </c>
      <c r="N35" s="2">
        <f t="shared" si="54"/>
        <v>0.66085215899342298</v>
      </c>
      <c r="O35" s="2">
        <f t="shared" si="54"/>
        <v>0.11616018176654359</v>
      </c>
      <c r="P35" s="2">
        <f t="shared" si="54"/>
        <v>0.33126059920859241</v>
      </c>
      <c r="Q35" s="2">
        <f t="shared" si="54"/>
        <v>0.39262224764083498</v>
      </c>
      <c r="R35" s="2">
        <f t="shared" si="54"/>
        <v>0.24020589076351159</v>
      </c>
      <c r="S35" s="2">
        <f t="shared" si="54"/>
        <v>8.6132177681473451E-2</v>
      </c>
      <c r="T35" s="2">
        <f t="shared" si="54"/>
        <v>0.31468926553672316</v>
      </c>
      <c r="U35" s="2">
        <f>U32/U36</f>
        <v>0.40119513981513133</v>
      </c>
      <c r="V35" s="2">
        <f t="shared" ref="V35:Z35" si="55">V32/V36</f>
        <v>0.36628223008688043</v>
      </c>
      <c r="W35" s="2">
        <f t="shared" si="55"/>
        <v>0.311339050236564</v>
      </c>
      <c r="X35" s="2">
        <f t="shared" si="55"/>
        <v>0.36450917919499859</v>
      </c>
      <c r="Y35" s="2">
        <f t="shared" si="55"/>
        <v>0.39998665786591731</v>
      </c>
      <c r="Z35" s="2">
        <f t="shared" si="55"/>
        <v>0.39455087333269123</v>
      </c>
      <c r="AB35" s="2">
        <f t="shared" ref="AB35:AG35" si="56">AB32/AB36</f>
        <v>3.6205305651672433</v>
      </c>
      <c r="AC35" s="2">
        <f t="shared" si="56"/>
        <v>4.308863669013073</v>
      </c>
      <c r="AD35" s="2">
        <f t="shared" si="56"/>
        <v>2.0319507128017764</v>
      </c>
      <c r="AE35" s="2">
        <f t="shared" si="56"/>
        <v>1.0799117626129653</v>
      </c>
      <c r="AF35" s="2">
        <f t="shared" si="56"/>
        <v>1.2169123981505994</v>
      </c>
      <c r="AG35" s="2">
        <f t="shared" si="56"/>
        <v>1.4703857606301711</v>
      </c>
      <c r="AH35" s="2">
        <f t="shared" ref="AH35:AJ35" si="57">AH32/AH36</f>
        <v>1.1590467103936071</v>
      </c>
      <c r="AI35" s="2">
        <f t="shared" si="57"/>
        <v>4.34143018656584</v>
      </c>
      <c r="AJ35" s="2">
        <f t="shared" si="57"/>
        <v>8.1778842066660253</v>
      </c>
      <c r="AK35" s="2">
        <f>AK32/AK36</f>
        <v>9.7864406779661017</v>
      </c>
    </row>
    <row r="36" spans="1:37" x14ac:dyDescent="0.25">
      <c r="B36" s="2" t="s">
        <v>51</v>
      </c>
      <c r="C36" s="2">
        <f>1157*3</f>
        <v>3471</v>
      </c>
      <c r="D36" s="2">
        <f>3*1155</f>
        <v>3465</v>
      </c>
      <c r="E36" s="2">
        <v>3468</v>
      </c>
      <c r="F36" s="2">
        <v>3468</v>
      </c>
      <c r="G36" s="2">
        <v>3468</v>
      </c>
      <c r="H36" s="2">
        <v>3468</v>
      </c>
      <c r="I36" s="2">
        <v>3493</v>
      </c>
      <c r="J36" s="2">
        <v>3493</v>
      </c>
      <c r="K36" s="2">
        <v>3484</v>
      </c>
      <c r="L36" s="2">
        <v>3481</v>
      </c>
      <c r="M36" s="2">
        <v>3497</v>
      </c>
      <c r="N36" s="2">
        <v>3497</v>
      </c>
      <c r="O36" s="2">
        <v>3521</v>
      </c>
      <c r="P36" s="2">
        <v>3538</v>
      </c>
      <c r="Q36" s="2">
        <v>3497</v>
      </c>
      <c r="R36" s="2">
        <v>3497</v>
      </c>
      <c r="S36" s="2">
        <v>5538</v>
      </c>
      <c r="T36" s="2">
        <v>3540</v>
      </c>
      <c r="U36" s="2">
        <v>3540</v>
      </c>
      <c r="V36" s="2">
        <v>3540</v>
      </c>
      <c r="W36" s="2">
        <v>3540</v>
      </c>
      <c r="X36" s="2">
        <v>3540</v>
      </c>
      <c r="Y36" s="2">
        <v>3540</v>
      </c>
      <c r="Z36" s="2">
        <v>3540</v>
      </c>
      <c r="AB36" s="2">
        <f t="shared" si="51"/>
        <v>3468</v>
      </c>
      <c r="AC36" s="2">
        <f t="shared" si="52"/>
        <v>3480.5</v>
      </c>
      <c r="AD36" s="2">
        <f>AVERAGE(K36:N36)</f>
        <v>3489.75</v>
      </c>
      <c r="AE36" s="2">
        <f t="shared" si="53"/>
        <v>3513.25</v>
      </c>
      <c r="AF36" s="2">
        <v>3540</v>
      </c>
      <c r="AG36" s="2">
        <v>3540</v>
      </c>
      <c r="AH36" s="2">
        <v>3540</v>
      </c>
      <c r="AI36" s="2">
        <v>3540</v>
      </c>
      <c r="AJ36" s="2">
        <v>3540</v>
      </c>
      <c r="AK36" s="2">
        <v>3540</v>
      </c>
    </row>
    <row r="37" spans="1:37" ht="12" customHeight="1" x14ac:dyDescent="0.25"/>
    <row r="38" spans="1:37" ht="12" customHeight="1" x14ac:dyDescent="0.25">
      <c r="A38" s="16" t="s">
        <v>82</v>
      </c>
    </row>
    <row r="39" spans="1:37" x14ac:dyDescent="0.25">
      <c r="A39" s="16"/>
      <c r="B39" s="9" t="s">
        <v>83</v>
      </c>
      <c r="AF39" s="17">
        <v>40</v>
      </c>
      <c r="AG39" s="17">
        <v>40</v>
      </c>
      <c r="AH39" s="17">
        <v>40</v>
      </c>
      <c r="AI39" s="17">
        <v>40</v>
      </c>
      <c r="AJ39" s="17">
        <v>40</v>
      </c>
      <c r="AK39" s="17">
        <v>40</v>
      </c>
    </row>
    <row r="40" spans="1:37" x14ac:dyDescent="0.25">
      <c r="A40" s="16"/>
      <c r="B40" s="2" t="s">
        <v>85</v>
      </c>
      <c r="AF40" s="18" vm="1">
        <f ca="1">Main!$O$3</f>
        <v>328.58</v>
      </c>
      <c r="AG40" s="18" vm="1">
        <f ca="1">Main!$O$3</f>
        <v>328.58</v>
      </c>
      <c r="AH40" s="18" vm="1">
        <f ca="1">Main!$O$3</f>
        <v>328.58</v>
      </c>
      <c r="AI40" s="18" vm="1">
        <f ca="1">Main!$O$3</f>
        <v>328.58</v>
      </c>
      <c r="AJ40" s="18" vm="1">
        <f ca="1">Main!$O$3</f>
        <v>328.58</v>
      </c>
      <c r="AK40" s="18" vm="1">
        <f ca="1">Main!$O$3</f>
        <v>328.58</v>
      </c>
    </row>
    <row r="41" spans="1:37" x14ac:dyDescent="0.25">
      <c r="A41" s="16"/>
      <c r="B41" s="2" t="s">
        <v>84</v>
      </c>
      <c r="AF41" s="18">
        <f>AF35*AF39</f>
        <v>48.676495926023975</v>
      </c>
      <c r="AG41" s="18">
        <f>AG35*AG39</f>
        <v>58.815430425206841</v>
      </c>
      <c r="AH41" s="18">
        <f>AH35*AH39</f>
        <v>46.361868415744283</v>
      </c>
      <c r="AI41" s="18">
        <f>AI35*AI39</f>
        <v>173.65720746263361</v>
      </c>
      <c r="AJ41" s="18">
        <f>AJ35*AJ39</f>
        <v>327.11536826664098</v>
      </c>
      <c r="AK41" s="18">
        <f>AK35*AK39</f>
        <v>391.45762711864404</v>
      </c>
    </row>
    <row r="42" spans="1:37" x14ac:dyDescent="0.25">
      <c r="B42" s="2" t="s">
        <v>86</v>
      </c>
      <c r="AF42" s="18">
        <f ca="1">AF41-AF40</f>
        <v>-279.90350407397602</v>
      </c>
      <c r="AG42" s="18">
        <f t="shared" ref="AG42:AK42" ca="1" si="58">AG41-AG40</f>
        <v>-269.76456957479314</v>
      </c>
      <c r="AH42" s="18">
        <f t="shared" ca="1" si="58"/>
        <v>-282.21813158425573</v>
      </c>
      <c r="AI42" s="18">
        <f t="shared" ca="1" si="58"/>
        <v>-154.92279253736638</v>
      </c>
      <c r="AJ42" s="18">
        <f t="shared" ca="1" si="58"/>
        <v>-1.4646317333589991</v>
      </c>
      <c r="AK42" s="18">
        <f t="shared" ca="1" si="58"/>
        <v>62.877627118644057</v>
      </c>
    </row>
    <row r="43" spans="1:37" x14ac:dyDescent="0.25">
      <c r="B43" s="2" t="s">
        <v>87</v>
      </c>
      <c r="AF43" s="19">
        <f ca="1">AF41/AF40-1</f>
        <v>-0.8518580074075599</v>
      </c>
      <c r="AG43" s="19">
        <f t="shared" ref="AG43:AK43" ca="1" si="59">AG41/AG40-1</f>
        <v>-0.8210011856314845</v>
      </c>
      <c r="AH43" s="19">
        <f t="shared" ca="1" si="59"/>
        <v>-0.85890234215185257</v>
      </c>
      <c r="AI43" s="19">
        <f t="shared" ca="1" si="59"/>
        <v>-0.47149185141325212</v>
      </c>
      <c r="AJ43" s="19">
        <f t="shared" ca="1" si="59"/>
        <v>-4.4574585591301563E-3</v>
      </c>
      <c r="AK43" s="19">
        <f ca="1">AK41/AK40-1</f>
        <v>0.19136169918632917</v>
      </c>
    </row>
    <row r="44" spans="1:37" ht="45" x14ac:dyDescent="0.25">
      <c r="B44" s="9" t="s">
        <v>67</v>
      </c>
      <c r="C44" s="2">
        <f>(C8/C4)*1000000</f>
        <v>50037.413561771085</v>
      </c>
      <c r="D44" s="2">
        <f t="shared" ref="D44:T44" si="60">(D8/D4)*1000000</f>
        <v>53672.039105596887</v>
      </c>
      <c r="E44" s="2">
        <f t="shared" si="60"/>
        <v>51726.143733821948</v>
      </c>
      <c r="F44" s="2">
        <f t="shared" si="60"/>
        <v>49943.49557587631</v>
      </c>
      <c r="G44" s="2">
        <f t="shared" si="60"/>
        <v>44642.033697901272</v>
      </c>
      <c r="H44" s="2">
        <f t="shared" si="60"/>
        <v>43804.436435405674</v>
      </c>
      <c r="I44" s="2">
        <f t="shared" si="60"/>
        <v>42711.448332295164</v>
      </c>
      <c r="J44" s="2">
        <f t="shared" si="60"/>
        <v>42579.364178432923</v>
      </c>
      <c r="K44" s="2">
        <f t="shared" si="60"/>
        <v>42553.191489361699</v>
      </c>
      <c r="L44" s="2">
        <f t="shared" si="60"/>
        <v>41738.370469145593</v>
      </c>
      <c r="M44" s="2">
        <f t="shared" si="60"/>
        <v>40681.371384130136</v>
      </c>
      <c r="N44" s="2">
        <f t="shared" si="60"/>
        <v>37651.59311499889</v>
      </c>
      <c r="O44" s="2">
        <f t="shared" si="60"/>
        <v>38389.454706383789</v>
      </c>
      <c r="P44" s="2">
        <f t="shared" si="60"/>
        <v>41098.921696752594</v>
      </c>
      <c r="Q44" s="2">
        <f t="shared" si="60"/>
        <v>40955.624533543625</v>
      </c>
      <c r="R44" s="2">
        <f t="shared" si="60"/>
        <v>40050.020682547998</v>
      </c>
      <c r="S44" s="2">
        <f t="shared" si="60"/>
        <v>43217.893822463913</v>
      </c>
      <c r="T44" s="2">
        <f t="shared" si="60"/>
        <v>41668.228756618053</v>
      </c>
      <c r="U44" s="2">
        <f t="shared" ref="U44:Z44" si="61">Q44</f>
        <v>40955.624533543625</v>
      </c>
      <c r="V44" s="2">
        <f t="shared" si="61"/>
        <v>40050.020682547998</v>
      </c>
      <c r="W44" s="2">
        <f t="shared" si="61"/>
        <v>43217.893822463913</v>
      </c>
      <c r="X44" s="2">
        <f t="shared" si="61"/>
        <v>41668.228756618053</v>
      </c>
      <c r="Y44" s="2">
        <f t="shared" si="61"/>
        <v>40955.624533543625</v>
      </c>
      <c r="Z44" s="2">
        <f t="shared" si="61"/>
        <v>40050.020682547998</v>
      </c>
      <c r="AB44" s="10">
        <f>AB8/SUM(C4:F4)*1000000</f>
        <v>51154.963538483433</v>
      </c>
      <c r="AC44" s="10">
        <f>AC8/SUM(G4:J4)*1000000</f>
        <v>43409.169951470241</v>
      </c>
      <c r="AD44" s="10">
        <f>AD8/SUM(K4:N4)*1000000</f>
        <v>40509.136352814006</v>
      </c>
      <c r="AE44" s="10">
        <f>AE8/SUM(O4:R4)*1000000</f>
        <v>40229.712938282988</v>
      </c>
      <c r="AF44" s="10">
        <f>AF8/SUM(S4:V4)*1000000</f>
        <v>41396.65521321947</v>
      </c>
      <c r="AG44" s="10">
        <f>AG8/SUM(W4:Z4)*1000000</f>
        <v>41396.65521321947</v>
      </c>
      <c r="AH44" s="10">
        <f t="shared" ref="AH44:AK45" si="62">AG44</f>
        <v>41396.65521321947</v>
      </c>
      <c r="AI44" s="10">
        <f t="shared" si="62"/>
        <v>41396.65521321947</v>
      </c>
      <c r="AJ44" s="10">
        <f t="shared" si="62"/>
        <v>41396.65521321947</v>
      </c>
      <c r="AK44" s="10">
        <f t="shared" si="62"/>
        <v>41396.65521321947</v>
      </c>
    </row>
    <row r="45" spans="1:37" x14ac:dyDescent="0.25">
      <c r="B45" s="2" t="s">
        <v>71</v>
      </c>
      <c r="C45" s="2">
        <f>(C11/C5)*1000000</f>
        <v>728132387.70685589</v>
      </c>
      <c r="D45" s="2">
        <f t="shared" ref="D45:T45" si="63">(D11/D5)*1000000</f>
        <v>764342453.66284204</v>
      </c>
      <c r="E45" s="2">
        <f t="shared" si="63"/>
        <v>531904761.90476191</v>
      </c>
      <c r="F45" s="2">
        <f t="shared" si="63"/>
        <v>532087733.54995936</v>
      </c>
      <c r="G45" s="2">
        <f t="shared" si="63"/>
        <v>393160195.42298794</v>
      </c>
      <c r="H45" s="2">
        <f t="shared" si="63"/>
        <v>413085135.50506431</v>
      </c>
      <c r="I45" s="2">
        <f t="shared" si="63"/>
        <v>391708542.71356785</v>
      </c>
      <c r="J45" s="2">
        <f t="shared" si="63"/>
        <v>449094316.05246723</v>
      </c>
      <c r="K45" s="2">
        <f t="shared" si="63"/>
        <v>403404885.27017027</v>
      </c>
      <c r="L45" s="2">
        <f t="shared" si="63"/>
        <v>320638297.87234038</v>
      </c>
      <c r="M45" s="2">
        <f t="shared" si="63"/>
        <v>344347826.0869565</v>
      </c>
      <c r="N45" s="2">
        <f t="shared" si="63"/>
        <v>278272727.27272725</v>
      </c>
      <c r="O45" s="2">
        <f t="shared" si="63"/>
        <v>262500000</v>
      </c>
      <c r="P45" s="2">
        <f t="shared" si="63"/>
        <v>290520833.33333337</v>
      </c>
      <c r="Q45" s="2">
        <f t="shared" si="63"/>
        <v>273200000</v>
      </c>
      <c r="R45" s="2">
        <f t="shared" si="63"/>
        <v>270211267.6056338</v>
      </c>
      <c r="S45" s="2">
        <f t="shared" si="63"/>
        <v>273636363.63636363</v>
      </c>
      <c r="T45" s="2">
        <f t="shared" si="63"/>
        <v>232518518.51851851</v>
      </c>
      <c r="U45" s="2">
        <f>Q45</f>
        <v>273200000</v>
      </c>
      <c r="V45" s="2">
        <f t="shared" ref="V45:X45" si="64">R45</f>
        <v>270211267.6056338</v>
      </c>
      <c r="W45" s="2">
        <f t="shared" si="64"/>
        <v>273636363.63636363</v>
      </c>
      <c r="X45" s="2">
        <f t="shared" si="64"/>
        <v>232518518.51851851</v>
      </c>
      <c r="Y45" s="2">
        <f>U45</f>
        <v>273200000</v>
      </c>
      <c r="Z45" s="2">
        <f>V45</f>
        <v>270211267.6056338</v>
      </c>
      <c r="AB45" s="10">
        <f>AB11/SUM(C5:F5)*1000000</f>
        <v>597615043.57131934</v>
      </c>
      <c r="AC45" s="10">
        <f>AC11/SUM(G5:J5)*1000000</f>
        <v>409875033.95816356</v>
      </c>
      <c r="AD45" s="10">
        <f>AD11/SUM(K5:N5)*1000000</f>
        <v>321691704.14314419</v>
      </c>
      <c r="AE45" s="10">
        <f>AE11/SUM(O5:R5)*1000000</f>
        <v>273468950.74946463</v>
      </c>
      <c r="AF45" s="10">
        <f>AF11/SUM(S5:V5)*1000000</f>
        <v>261990378.26620135</v>
      </c>
      <c r="AG45" s="10">
        <f>AG11/SUM(W5:Z5)*1000000</f>
        <v>261990378.26620129</v>
      </c>
      <c r="AH45" s="10">
        <f t="shared" si="62"/>
        <v>261990378.26620129</v>
      </c>
      <c r="AI45" s="10">
        <f t="shared" si="62"/>
        <v>261990378.26620129</v>
      </c>
      <c r="AJ45" s="10">
        <f t="shared" si="62"/>
        <v>261990378.26620129</v>
      </c>
      <c r="AK45" s="10">
        <f t="shared" si="62"/>
        <v>261990378.26620129</v>
      </c>
    </row>
    <row r="47" spans="1:37" x14ac:dyDescent="0.25">
      <c r="A47" s="8" t="s">
        <v>75</v>
      </c>
      <c r="B47" s="2" t="s">
        <v>72</v>
      </c>
      <c r="C47" s="11">
        <f>(C8-C14)/C8</f>
        <v>0.29650638133298957</v>
      </c>
      <c r="D47" s="11">
        <f t="shared" ref="D47:T47" si="65">(D8-D14)/D8</f>
        <v>0.25727871250914414</v>
      </c>
      <c r="E47" s="11">
        <f t="shared" si="65"/>
        <v>0.26348046106269329</v>
      </c>
      <c r="F47" s="11">
        <f t="shared" si="65"/>
        <v>0.23753767106368262</v>
      </c>
      <c r="G47" s="11">
        <f t="shared" si="65"/>
        <v>0.1830702404915775</v>
      </c>
      <c r="H47" s="11">
        <f t="shared" si="65"/>
        <v>0.17522895342573094</v>
      </c>
      <c r="I47" s="11">
        <f t="shared" si="65"/>
        <v>0.15746421267893659</v>
      </c>
      <c r="J47" s="11">
        <f t="shared" si="65"/>
        <v>0.16616577799321378</v>
      </c>
      <c r="K47" s="11">
        <f t="shared" si="65"/>
        <v>0.15571081409477522</v>
      </c>
      <c r="L47" s="11">
        <f t="shared" si="65"/>
        <v>0.13858607663248787</v>
      </c>
      <c r="M47" s="11">
        <f t="shared" si="65"/>
        <v>0.16398491848547608</v>
      </c>
      <c r="N47" s="11">
        <f t="shared" si="65"/>
        <v>0.12814191542955142</v>
      </c>
      <c r="O47" s="11">
        <f t="shared" si="65"/>
        <v>0.1132688588007737</v>
      </c>
      <c r="P47" s="11">
        <f t="shared" si="65"/>
        <v>0.14062203078482297</v>
      </c>
      <c r="Q47" s="11">
        <f t="shared" si="65"/>
        <v>0.14706026818606022</v>
      </c>
      <c r="R47" s="11">
        <f>(R8-R14)/R8</f>
        <v>0.17170149253731343</v>
      </c>
      <c r="S47" s="11">
        <f t="shared" si="65"/>
        <v>0.18464421896206296</v>
      </c>
      <c r="T47" s="11">
        <f t="shared" si="65"/>
        <v>0.15695291412576226</v>
      </c>
      <c r="U47" s="11">
        <f>AVERAGE(Q47:T47)</f>
        <v>0.16508972345279974</v>
      </c>
      <c r="V47" s="11">
        <f>U47</f>
        <v>0.16508972345279974</v>
      </c>
      <c r="W47" s="11">
        <f t="shared" ref="W47:Y47" si="66">V47</f>
        <v>0.16508972345279974</v>
      </c>
      <c r="X47" s="11">
        <f t="shared" si="66"/>
        <v>0.16508972345279974</v>
      </c>
      <c r="Y47" s="11">
        <f t="shared" si="66"/>
        <v>0.16508972345279974</v>
      </c>
      <c r="Z47" s="11">
        <f>Y47</f>
        <v>0.16508972345279974</v>
      </c>
      <c r="AB47" s="12">
        <f t="shared" ref="AB47:AK47" si="67">(AB8-AB14)/AB8</f>
        <v>0.26202945990180032</v>
      </c>
      <c r="AC47" s="12">
        <f t="shared" si="67"/>
        <v>0.17052821969455731</v>
      </c>
      <c r="AD47" s="12">
        <f t="shared" si="67"/>
        <v>0.14638520971302429</v>
      </c>
      <c r="AE47" s="12">
        <f t="shared" si="67"/>
        <v>0.14515124352410325</v>
      </c>
      <c r="AF47" s="12">
        <f t="shared" si="67"/>
        <v>0.16701540953890376</v>
      </c>
      <c r="AG47" s="12">
        <f t="shared" si="67"/>
        <v>0.16508972345279968</v>
      </c>
      <c r="AH47" s="12">
        <f t="shared" si="67"/>
        <v>0.37434364797285985</v>
      </c>
      <c r="AI47" s="12">
        <f t="shared" si="67"/>
        <v>-6.9152494785909525E-3</v>
      </c>
      <c r="AJ47" s="12">
        <f t="shared" si="67"/>
        <v>-0.53165812093253406</v>
      </c>
      <c r="AK47" s="12">
        <f t="shared" si="67"/>
        <v>-1.0014469337011405</v>
      </c>
    </row>
    <row r="48" spans="1:37" x14ac:dyDescent="0.25">
      <c r="B48" s="2" t="s">
        <v>73</v>
      </c>
      <c r="C48" s="11">
        <f>(C9-C15)/C9</f>
        <v>0.38922155688622756</v>
      </c>
      <c r="D48" s="11">
        <f t="shared" ref="D48:T48" si="68">(D9-D15)/D9</f>
        <v>0.37414965986394561</v>
      </c>
      <c r="E48" s="11">
        <f t="shared" si="68"/>
        <v>0.38647342995169082</v>
      </c>
      <c r="F48" s="11">
        <f t="shared" si="68"/>
        <v>0.41235392320534225</v>
      </c>
      <c r="G48" s="11">
        <f t="shared" si="68"/>
        <v>0.40957446808510639</v>
      </c>
      <c r="H48" s="11">
        <f t="shared" si="68"/>
        <v>0.40388007054673719</v>
      </c>
      <c r="I48" s="11">
        <f t="shared" si="68"/>
        <v>0.38445807770961143</v>
      </c>
      <c r="J48" s="11">
        <f t="shared" si="68"/>
        <v>0.40799999999999997</v>
      </c>
      <c r="K48" s="11">
        <f t="shared" si="68"/>
        <v>0.43487394957983194</v>
      </c>
      <c r="L48" s="11">
        <f t="shared" si="68"/>
        <v>0.46506550218340609</v>
      </c>
      <c r="M48" s="11">
        <f t="shared" si="68"/>
        <v>0.4461883408071749</v>
      </c>
      <c r="N48" s="11">
        <f t="shared" si="68"/>
        <v>0.45861297539149887</v>
      </c>
      <c r="O48" s="11">
        <f t="shared" si="68"/>
        <v>0.46532438478747201</v>
      </c>
      <c r="P48" s="11">
        <f t="shared" si="68"/>
        <v>0.48063781321184512</v>
      </c>
      <c r="Q48" s="11">
        <f t="shared" si="68"/>
        <v>0.47552447552447552</v>
      </c>
      <c r="R48" s="11">
        <f t="shared" si="68"/>
        <v>0.48110831234256929</v>
      </c>
      <c r="S48" s="11">
        <f t="shared" si="68"/>
        <v>0.48556430446194226</v>
      </c>
      <c r="T48" s="11">
        <f t="shared" si="68"/>
        <v>0.48626373626373626</v>
      </c>
      <c r="U48" s="11">
        <f>AVERAGE(Q48:T48)</f>
        <v>0.48211520714818085</v>
      </c>
      <c r="V48" s="11">
        <f>U48</f>
        <v>0.48211520714818085</v>
      </c>
      <c r="W48" s="11">
        <f t="shared" ref="W48:Z48" si="69">V48</f>
        <v>0.48211520714818085</v>
      </c>
      <c r="X48" s="11">
        <f t="shared" si="69"/>
        <v>0.48211520714818085</v>
      </c>
      <c r="Y48" s="11">
        <f t="shared" si="69"/>
        <v>0.48211520714818085</v>
      </c>
      <c r="Z48" s="11">
        <f t="shared" si="69"/>
        <v>0.48211520714818085</v>
      </c>
      <c r="AB48" s="12">
        <f t="shared" ref="AB48:AK48" si="70">(AB9-AB15)/AB9</f>
        <v>0.39054927302100162</v>
      </c>
      <c r="AC48" s="12">
        <f t="shared" si="70"/>
        <v>0.40188679245283021</v>
      </c>
      <c r="AD48" s="12">
        <f t="shared" si="70"/>
        <v>0.45101258894362345</v>
      </c>
      <c r="AE48" s="12">
        <f t="shared" si="70"/>
        <v>0.47546728971962615</v>
      </c>
      <c r="AF48" s="12">
        <f t="shared" si="70"/>
        <v>0.48391289694742035</v>
      </c>
      <c r="AG48" s="12">
        <f t="shared" si="70"/>
        <v>0.4821152071481809</v>
      </c>
      <c r="AH48" s="12">
        <f t="shared" si="70"/>
        <v>0.62639331727218661</v>
      </c>
      <c r="AI48" s="12">
        <f t="shared" si="70"/>
        <v>-0.1182113672534657</v>
      </c>
      <c r="AJ48" s="12">
        <f t="shared" si="70"/>
        <v>-0.64002689265679402</v>
      </c>
      <c r="AK48" s="12">
        <f t="shared" si="70"/>
        <v>-0.97951327480159944</v>
      </c>
    </row>
    <row r="49" spans="2:37" x14ac:dyDescent="0.25">
      <c r="B49" s="2" t="s">
        <v>81</v>
      </c>
      <c r="C49" s="11">
        <f>(C11-C16)/C11</f>
        <v>-0.11688311688311688</v>
      </c>
      <c r="D49" s="11">
        <f t="shared" ref="D49:T49" si="71">(D11-D16)/D11</f>
        <v>0.11200923787528869</v>
      </c>
      <c r="E49" s="11">
        <f t="shared" si="71"/>
        <v>9.3106535362578333E-2</v>
      </c>
      <c r="F49" s="11">
        <f t="shared" si="71"/>
        <v>0.12137404580152672</v>
      </c>
      <c r="G49" s="11">
        <f t="shared" si="71"/>
        <v>0.10987573577501634</v>
      </c>
      <c r="H49" s="11">
        <f t="shared" si="71"/>
        <v>0.18422796554009277</v>
      </c>
      <c r="I49" s="11">
        <f t="shared" si="71"/>
        <v>0.24438742783835793</v>
      </c>
      <c r="J49" s="11">
        <f t="shared" si="71"/>
        <v>0.21835883171070933</v>
      </c>
      <c r="K49" s="11">
        <f t="shared" si="71"/>
        <v>0.24648318042813455</v>
      </c>
      <c r="L49" s="11">
        <f t="shared" si="71"/>
        <v>0.24552090245520902</v>
      </c>
      <c r="M49" s="11">
        <f t="shared" si="71"/>
        <v>0.30513468013468015</v>
      </c>
      <c r="N49" s="11">
        <f t="shared" si="71"/>
        <v>0.25220516171185886</v>
      </c>
      <c r="O49" s="11">
        <f t="shared" si="71"/>
        <v>0.28754578754578752</v>
      </c>
      <c r="P49" s="11">
        <f t="shared" si="71"/>
        <v>0.30333452850484044</v>
      </c>
      <c r="Q49" s="11">
        <f t="shared" si="71"/>
        <v>0.31420204978038069</v>
      </c>
      <c r="R49" s="11">
        <f t="shared" si="71"/>
        <v>0.28616106333072711</v>
      </c>
      <c r="S49" s="11">
        <f t="shared" si="71"/>
        <v>0.39534883720930231</v>
      </c>
      <c r="T49" s="11">
        <f t="shared" si="71"/>
        <v>0.20388658808537752</v>
      </c>
      <c r="U49" s="11">
        <f>AVERAGE(Q49:T49)</f>
        <v>0.29989963460144692</v>
      </c>
      <c r="V49" s="11">
        <f>U49</f>
        <v>0.29989963460144692</v>
      </c>
      <c r="W49" s="11">
        <f t="shared" ref="W49:Z49" si="72">V49</f>
        <v>0.29989963460144692</v>
      </c>
      <c r="X49" s="11">
        <f t="shared" si="72"/>
        <v>0.29989963460144692</v>
      </c>
      <c r="Y49" s="11">
        <f t="shared" si="72"/>
        <v>0.29989963460144692</v>
      </c>
      <c r="Z49" s="11">
        <f t="shared" si="72"/>
        <v>0.29989963460144692</v>
      </c>
      <c r="AB49" s="12">
        <f t="shared" ref="AB49:AK49" si="73">(AB11-AB16)/AB11</f>
        <v>7.3676132003069841E-2</v>
      </c>
      <c r="AC49" s="12">
        <f t="shared" si="73"/>
        <v>0.18906379453189726</v>
      </c>
      <c r="AD49" s="12">
        <f t="shared" si="73"/>
        <v>0.26174895895300415</v>
      </c>
      <c r="AE49" s="12">
        <f t="shared" si="73"/>
        <v>0.29770573956620466</v>
      </c>
      <c r="AF49" s="12">
        <f t="shared" si="73"/>
        <v>0.29474774409144994</v>
      </c>
      <c r="AG49" s="12">
        <f t="shared" si="73"/>
        <v>0.29989963460144686</v>
      </c>
      <c r="AH49" s="12">
        <f t="shared" si="73"/>
        <v>0.47390772176475554</v>
      </c>
      <c r="AI49" s="12">
        <f t="shared" si="73"/>
        <v>0.46513255351804661</v>
      </c>
      <c r="AJ49" s="12">
        <f t="shared" si="73"/>
        <v>0.43226814436355043</v>
      </c>
      <c r="AK49" s="12">
        <f t="shared" si="73"/>
        <v>0.31736376733852395</v>
      </c>
    </row>
    <row r="50" spans="2:37" x14ac:dyDescent="0.25">
      <c r="B50" s="2" t="s">
        <v>74</v>
      </c>
      <c r="C50" s="11"/>
      <c r="D50" s="11">
        <f>(D12-D17)/D12</f>
        <v>3.8199181446111868E-2</v>
      </c>
      <c r="E50" s="11">
        <f t="shared" ref="E50:T50" si="74">(E12-E17)/E12</f>
        <v>4.0121580547112463E-2</v>
      </c>
      <c r="F50" s="11">
        <f t="shared" si="74"/>
        <v>5.6437389770723101E-2</v>
      </c>
      <c r="G50" s="11">
        <f t="shared" si="74"/>
        <v>7.348938486663037E-2</v>
      </c>
      <c r="H50" s="11">
        <f t="shared" si="74"/>
        <v>7.7209302325581389E-2</v>
      </c>
      <c r="I50" s="11">
        <f t="shared" si="74"/>
        <v>5.9556786703601108E-2</v>
      </c>
      <c r="J50" s="11">
        <f t="shared" si="74"/>
        <v>2.7239150507848569E-2</v>
      </c>
      <c r="K50" s="11">
        <f t="shared" si="74"/>
        <v>3.5402097902097904E-2</v>
      </c>
      <c r="L50" s="11">
        <f t="shared" si="74"/>
        <v>6.4033742331288349E-2</v>
      </c>
      <c r="M50" s="11">
        <f t="shared" si="74"/>
        <v>8.8172043010752682E-2</v>
      </c>
      <c r="N50" s="11">
        <f t="shared" si="74"/>
        <v>4.1783707865168537E-2</v>
      </c>
      <c r="O50" s="11">
        <f t="shared" si="74"/>
        <v>3.828658074298711E-2</v>
      </c>
      <c r="P50" s="11">
        <f t="shared" si="74"/>
        <v>5.4497701904136574E-2</v>
      </c>
      <c r="Q50" s="11">
        <f t="shared" si="74"/>
        <v>0.10532374100719424</v>
      </c>
      <c r="R50" s="11">
        <f t="shared" si="74"/>
        <v>8.8401067932364283E-2</v>
      </c>
      <c r="S50" s="11">
        <f t="shared" si="74"/>
        <v>9.2389853137516686E-2</v>
      </c>
      <c r="T50" s="11">
        <f t="shared" si="74"/>
        <v>0.14145383104125736</v>
      </c>
      <c r="U50" s="11">
        <f>AVERAGE(Q50:T50)*1.5</f>
        <v>0.16033818491937471</v>
      </c>
      <c r="V50" s="11">
        <f>AVERAGE(R50:U50)</f>
        <v>0.12064573425762826</v>
      </c>
      <c r="W50" s="11">
        <f t="shared" ref="W50:X50" si="75">AVERAGE(S50:V50)</f>
        <v>0.12870690083894426</v>
      </c>
      <c r="X50" s="11">
        <f t="shared" si="75"/>
        <v>0.13778616276430117</v>
      </c>
      <c r="Y50" s="11">
        <f>AVERAGE(U50:X50)</f>
        <v>0.13686924569506209</v>
      </c>
      <c r="Z50" s="11">
        <f>AVERAGE(V50:Y50)</f>
        <v>0.13100201088898394</v>
      </c>
      <c r="AB50" s="12">
        <f t="shared" ref="AB50:AK50" si="76">(AB12-AB17)/AB12</f>
        <v>3.4641274010835658E-2</v>
      </c>
      <c r="AC50" s="12">
        <f t="shared" si="76"/>
        <v>5.8781103498016588E-2</v>
      </c>
      <c r="AD50" s="12">
        <f t="shared" si="76"/>
        <v>5.8192519460793624E-2</v>
      </c>
      <c r="AE50" s="12">
        <f t="shared" si="76"/>
        <v>7.4301675977653636E-2</v>
      </c>
      <c r="AF50" s="12">
        <f t="shared" si="76"/>
        <v>0.12978984728554935</v>
      </c>
      <c r="AG50" s="12">
        <f t="shared" si="76"/>
        <v>0.13383738549449542</v>
      </c>
      <c r="AH50" s="12">
        <f t="shared" si="76"/>
        <v>0.42197422853698519</v>
      </c>
      <c r="AI50" s="12">
        <f t="shared" si="76"/>
        <v>0.4430702698702837</v>
      </c>
      <c r="AJ50" s="12">
        <f t="shared" si="76"/>
        <v>0.37935425403948203</v>
      </c>
      <c r="AK50" s="12">
        <f t="shared" si="76"/>
        <v>0.27471720722802839</v>
      </c>
    </row>
    <row r="51" spans="2:37" x14ac:dyDescent="0.25">
      <c r="B51" s="2" t="s">
        <v>76</v>
      </c>
      <c r="C51" s="11">
        <f>C20/C13</f>
        <v>4.6118575389208785E-2</v>
      </c>
      <c r="D51" s="11">
        <f t="shared" ref="D51:T51" si="77">D20/D13</f>
        <v>3.9388213062477855E-2</v>
      </c>
      <c r="E51" s="11">
        <f t="shared" si="77"/>
        <v>3.4166122867530534E-2</v>
      </c>
      <c r="F51" s="11">
        <f t="shared" si="77"/>
        <v>3.3308660251665435E-2</v>
      </c>
      <c r="G51" s="11">
        <f t="shared" si="77"/>
        <v>3.3048994813322477E-2</v>
      </c>
      <c r="H51" s="11">
        <f t="shared" si="77"/>
        <v>3.7830464957676418E-2</v>
      </c>
      <c r="I51" s="11">
        <f t="shared" si="77"/>
        <v>4.9721627408993579E-2</v>
      </c>
      <c r="J51" s="11">
        <f t="shared" si="77"/>
        <v>4.3469622918901739E-2</v>
      </c>
      <c r="K51" s="11">
        <f t="shared" si="77"/>
        <v>5.4035021829961033E-2</v>
      </c>
      <c r="L51" s="11">
        <f t="shared" si="77"/>
        <v>4.211764705882353E-2</v>
      </c>
      <c r="M51" s="11">
        <f t="shared" si="77"/>
        <v>4.1259629894368995E-2</v>
      </c>
      <c r="N51" s="11">
        <f t="shared" si="77"/>
        <v>4.9636285836542574E-2</v>
      </c>
      <c r="O51" s="11">
        <f t="shared" si="77"/>
        <v>7.2873028187225242E-2</v>
      </c>
      <c r="P51" s="11">
        <f t="shared" si="77"/>
        <v>7.0634779516358465E-2</v>
      </c>
      <c r="Q51" s="11">
        <f t="shared" si="77"/>
        <v>5.8017440825769713E-2</v>
      </c>
      <c r="R51" s="11">
        <f t="shared" si="77"/>
        <v>7.1603550058230589E-2</v>
      </c>
      <c r="S51" s="11">
        <f t="shared" si="77"/>
        <v>8.6925447804529418E-2</v>
      </c>
      <c r="T51" s="11">
        <f t="shared" si="77"/>
        <v>8.3970817396231759E-2</v>
      </c>
      <c r="U51" s="11">
        <f>AVERAGE(Q51:T51)</f>
        <v>7.5129314021190371E-2</v>
      </c>
      <c r="V51" s="11">
        <f>U51</f>
        <v>7.5129314021190371E-2</v>
      </c>
      <c r="W51" s="11">
        <f t="shared" ref="W51:Z52" si="78">V51</f>
        <v>7.5129314021190371E-2</v>
      </c>
      <c r="X51" s="11">
        <f t="shared" si="78"/>
        <v>7.5129314021190371E-2</v>
      </c>
      <c r="Y51" s="11">
        <f t="shared" si="78"/>
        <v>7.5129314021190371E-2</v>
      </c>
      <c r="Z51" s="11">
        <f t="shared" si="78"/>
        <v>7.5129314021190371E-2</v>
      </c>
      <c r="AB51" s="12">
        <f t="shared" ref="AB51:AK51" si="79">AB20/AB13</f>
        <v>3.7747661486337188E-2</v>
      </c>
      <c r="AC51" s="12">
        <f t="shared" si="79"/>
        <v>4.1013505833238609E-2</v>
      </c>
      <c r="AD51" s="12">
        <f t="shared" si="79"/>
        <v>4.6473538745009722E-2</v>
      </c>
      <c r="AE51" s="12">
        <f t="shared" si="79"/>
        <v>6.7607327027112529E-2</v>
      </c>
      <c r="AF51" s="12">
        <f t="shared" si="79"/>
        <v>7.9998079244639503E-2</v>
      </c>
      <c r="AG51" s="12">
        <f t="shared" si="79"/>
        <v>7.5129314021190371E-2</v>
      </c>
      <c r="AH51" s="12">
        <f t="shared" si="79"/>
        <v>7.5129314021190371E-2</v>
      </c>
      <c r="AI51" s="12">
        <f t="shared" si="79"/>
        <v>5.3187750211223878E-2</v>
      </c>
      <c r="AJ51" s="12">
        <f t="shared" si="79"/>
        <v>4.4213189082406588E-2</v>
      </c>
      <c r="AK51" s="12">
        <f t="shared" si="79"/>
        <v>4.1982422759807916E-2</v>
      </c>
    </row>
    <row r="52" spans="2:37" x14ac:dyDescent="0.25">
      <c r="B52" s="2" t="s">
        <v>79</v>
      </c>
      <c r="C52" s="11">
        <f>C21/C13</f>
        <v>5.2889741949242911E-2</v>
      </c>
      <c r="D52" s="11">
        <f t="shared" ref="D52:T52" si="80">D21/D13</f>
        <v>5.6749734262430615E-2</v>
      </c>
      <c r="E52" s="11">
        <f t="shared" si="80"/>
        <v>4.4793511699449985E-2</v>
      </c>
      <c r="F52" s="11">
        <f t="shared" si="80"/>
        <v>4.2437700468788551E-2</v>
      </c>
      <c r="G52" s="11">
        <f t="shared" si="80"/>
        <v>4.6122851386686099E-2</v>
      </c>
      <c r="H52" s="11">
        <f t="shared" si="80"/>
        <v>4.7779516187266821E-2</v>
      </c>
      <c r="I52" s="11">
        <f t="shared" si="80"/>
        <v>5.3661670235546036E-2</v>
      </c>
      <c r="J52" s="11">
        <f t="shared" si="80"/>
        <v>5.0860253506576074E-2</v>
      </c>
      <c r="K52" s="11">
        <f t="shared" si="80"/>
        <v>6.4504013896061224E-2</v>
      </c>
      <c r="L52" s="11">
        <f t="shared" si="80"/>
        <v>5.0078431372549019E-2</v>
      </c>
      <c r="M52" s="11">
        <f t="shared" si="80"/>
        <v>4.7097132872686839E-2</v>
      </c>
      <c r="N52" s="11">
        <f t="shared" si="80"/>
        <v>5.1075582526160193E-2</v>
      </c>
      <c r="O52" s="11">
        <f t="shared" si="80"/>
        <v>6.470131885182312E-2</v>
      </c>
      <c r="P52" s="11">
        <f t="shared" si="80"/>
        <v>6.0721906116642958E-2</v>
      </c>
      <c r="Q52" s="11">
        <f t="shared" si="80"/>
        <v>5.5597081331197722E-2</v>
      </c>
      <c r="R52" s="11">
        <f t="shared" si="80"/>
        <v>6.6463194249226934E-2</v>
      </c>
      <c r="S52" s="11">
        <f t="shared" si="80"/>
        <v>8.1877875552776161E-2</v>
      </c>
      <c r="T52" s="11">
        <f t="shared" si="80"/>
        <v>7.0194078481371297E-2</v>
      </c>
      <c r="U52" s="11">
        <f>AVERAGE(Q52:T52)</f>
        <v>6.8533057403643016E-2</v>
      </c>
      <c r="V52" s="11">
        <f>U52</f>
        <v>6.8533057403643016E-2</v>
      </c>
      <c r="W52" s="11">
        <f t="shared" si="78"/>
        <v>6.8533057403643016E-2</v>
      </c>
      <c r="X52" s="11">
        <f t="shared" si="78"/>
        <v>6.8533057403643016E-2</v>
      </c>
      <c r="Y52" s="11">
        <f t="shared" si="78"/>
        <v>6.8533057403643016E-2</v>
      </c>
      <c r="Z52" s="11">
        <f t="shared" si="78"/>
        <v>6.8533057403643016E-2</v>
      </c>
      <c r="AB52" s="12">
        <f t="shared" ref="AB52:AK52" si="81">AB21/AB13</f>
        <v>4.8439763325231394E-2</v>
      </c>
      <c r="AC52" s="12">
        <f t="shared" si="81"/>
        <v>4.9600611740878139E-2</v>
      </c>
      <c r="AD52" s="12">
        <f t="shared" si="81"/>
        <v>5.2717780734977994E-2</v>
      </c>
      <c r="AE52" s="12">
        <f t="shared" si="81"/>
        <v>6.1522562139475045E-2</v>
      </c>
      <c r="AF52" s="12">
        <f t="shared" si="81"/>
        <v>7.1808898562598117E-2</v>
      </c>
      <c r="AG52" s="12">
        <f t="shared" si="81"/>
        <v>6.8533057403643016E-2</v>
      </c>
      <c r="AH52" s="12">
        <f t="shared" si="81"/>
        <v>6.8533057403643016E-2</v>
      </c>
      <c r="AI52" s="12">
        <f t="shared" si="81"/>
        <v>5.6739081902885444E-2</v>
      </c>
      <c r="AJ52" s="12">
        <f t="shared" si="81"/>
        <v>5.1634801016039809E-2</v>
      </c>
      <c r="AK52" s="12">
        <f t="shared" si="81"/>
        <v>5.0361511280239198E-2</v>
      </c>
    </row>
    <row r="53" spans="2:37" x14ac:dyDescent="0.25">
      <c r="B53" s="2" t="s">
        <v>77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B53" s="12">
        <f t="shared" ref="AB53:AK53" si="82">AB22/AB13</f>
        <v>2.160516559868405E-3</v>
      </c>
      <c r="AC53" s="12">
        <f t="shared" si="82"/>
        <v>0</v>
      </c>
      <c r="AD53" s="12">
        <f t="shared" si="82"/>
        <v>7.0017401985873681E-3</v>
      </c>
      <c r="AE53" s="12">
        <f t="shared" si="82"/>
        <v>5.2094867495544516E-3</v>
      </c>
      <c r="AF53" s="12">
        <f t="shared" si="82"/>
        <v>0</v>
      </c>
      <c r="AG53" s="12">
        <f t="shared" si="82"/>
        <v>0</v>
      </c>
      <c r="AH53" s="12">
        <f t="shared" si="82"/>
        <v>0</v>
      </c>
      <c r="AI53" s="12">
        <f t="shared" si="82"/>
        <v>1.2681384782720143E-3</v>
      </c>
      <c r="AJ53" s="12">
        <f t="shared" si="82"/>
        <v>8.5733702449397261E-4</v>
      </c>
      <c r="AK53" s="12">
        <f t="shared" si="82"/>
        <v>3.1167889825133642E-3</v>
      </c>
    </row>
    <row r="54" spans="2:37" x14ac:dyDescent="0.25">
      <c r="B54" s="2" t="s">
        <v>78</v>
      </c>
      <c r="C54" s="11">
        <f>C29/C28</f>
        <v>9.5421952564809703E-2</v>
      </c>
      <c r="D54" s="11">
        <f t="shared" ref="D54:T54" si="83">D29/D28</f>
        <v>8.286176232821342E-2</v>
      </c>
      <c r="E54" s="11">
        <f t="shared" si="83"/>
        <v>8.3883388338833881E-2</v>
      </c>
      <c r="F54" s="11">
        <f t="shared" si="83"/>
        <v>6.929450163193572E-2</v>
      </c>
      <c r="G54" s="11">
        <f t="shared" si="83"/>
        <v>9.3214285714285708E-2</v>
      </c>
      <c r="H54" s="11">
        <f t="shared" si="83"/>
        <v>0.10997616615594144</v>
      </c>
      <c r="I54" s="11">
        <f t="shared" si="83"/>
        <v>8.1662591687041569E-2</v>
      </c>
      <c r="J54" s="11">
        <f t="shared" si="83"/>
        <v>-2.6252852578731174</v>
      </c>
      <c r="K54" s="11">
        <f t="shared" si="83"/>
        <v>0.26336123631680619</v>
      </c>
      <c r="L54" s="11">
        <f t="shared" si="83"/>
        <v>0.20826709062003179</v>
      </c>
      <c r="M54" s="11">
        <f t="shared" si="83"/>
        <v>0.21569329989251165</v>
      </c>
      <c r="N54" s="11">
        <f t="shared" si="83"/>
        <v>0.15694092062341428</v>
      </c>
      <c r="O54" s="11">
        <f t="shared" si="83"/>
        <v>0.28692699490662138</v>
      </c>
      <c r="P54" s="11">
        <f t="shared" si="83"/>
        <v>0.23176242737249839</v>
      </c>
      <c r="Q54" s="11">
        <f t="shared" si="83"/>
        <v>0.29096477794793263</v>
      </c>
      <c r="R54" s="11">
        <f t="shared" si="83"/>
        <v>0.275190516511431</v>
      </c>
      <c r="S54" s="11">
        <f t="shared" si="83"/>
        <v>0.34358288770053474</v>
      </c>
      <c r="T54" s="11">
        <f t="shared" si="83"/>
        <v>0.15124153498871332</v>
      </c>
      <c r="U54" s="11">
        <f>AVERAGE(Q54:T54)</f>
        <v>0.26524492928715293</v>
      </c>
      <c r="V54" s="11">
        <f>U54</f>
        <v>0.26524492928715293</v>
      </c>
      <c r="W54" s="11">
        <f t="shared" ref="W54:Z54" si="84">V54</f>
        <v>0.26524492928715293</v>
      </c>
      <c r="X54" s="11">
        <f t="shared" si="84"/>
        <v>0.26524492928715293</v>
      </c>
      <c r="Y54" s="11">
        <f t="shared" si="84"/>
        <v>0.26524492928715293</v>
      </c>
      <c r="Z54" s="11">
        <f t="shared" si="84"/>
        <v>0.26524492928715293</v>
      </c>
      <c r="AB54" s="12">
        <f t="shared" ref="AB54:AK54" si="85">AB29/AB28</f>
        <v>8.2513302718857054E-2</v>
      </c>
      <c r="AC54" s="12">
        <f t="shared" si="85"/>
        <v>-0.50145392559911761</v>
      </c>
      <c r="AD54" s="12">
        <f t="shared" si="85"/>
        <v>0.20433815350389323</v>
      </c>
      <c r="AE54" s="12">
        <f t="shared" si="85"/>
        <v>0.26960970064418338</v>
      </c>
      <c r="AF54" s="12">
        <f t="shared" si="85"/>
        <v>0.24915500924608056</v>
      </c>
      <c r="AG54" s="12">
        <f t="shared" si="85"/>
        <v>0.26524492928715293</v>
      </c>
      <c r="AH54" s="12">
        <f t="shared" si="85"/>
        <v>0.26524492928715293</v>
      </c>
      <c r="AI54" s="12">
        <f t="shared" si="85"/>
        <v>0.12237770363035248</v>
      </c>
      <c r="AJ54" s="12">
        <f t="shared" si="85"/>
        <v>-0.13147350471898026</v>
      </c>
      <c r="AK54" s="12">
        <f t="shared" si="85"/>
        <v>-6.21748974970932E-2</v>
      </c>
    </row>
    <row r="56" spans="2:37" x14ac:dyDescent="0.25">
      <c r="B56" s="2" t="s">
        <v>52</v>
      </c>
      <c r="G56" s="13">
        <f t="shared" ref="G56:T56" si="86">(G8+G9+G10)/(C8+C9+C10)-1</f>
        <v>0.18397485321155327</v>
      </c>
      <c r="H56" s="13">
        <f t="shared" si="86"/>
        <v>0.4565128064648678</v>
      </c>
      <c r="I56" s="13">
        <f t="shared" si="86"/>
        <v>4.9914401883158543E-2</v>
      </c>
      <c r="J56" s="13">
        <f t="shared" si="86"/>
        <v>1.2014830806777121E-2</v>
      </c>
      <c r="K56" s="13">
        <f t="shared" si="86"/>
        <v>-0.12948955567800435</v>
      </c>
      <c r="L56" s="13">
        <f t="shared" si="86"/>
        <v>-6.5356403987210876E-2</v>
      </c>
      <c r="M56" s="13">
        <f t="shared" si="86"/>
        <v>1.9923566878981003E-2</v>
      </c>
      <c r="N56" s="13">
        <f t="shared" si="86"/>
        <v>-8.1853174419143859E-2</v>
      </c>
      <c r="O56" s="13">
        <f t="shared" si="86"/>
        <v>-0.19628265623201746</v>
      </c>
      <c r="P56" s="13">
        <f t="shared" si="86"/>
        <v>-0.16183720696247106</v>
      </c>
      <c r="Q56" s="13">
        <f t="shared" si="86"/>
        <v>5.9402478017585914E-2</v>
      </c>
      <c r="R56" s="13">
        <f t="shared" si="86"/>
        <v>-0.10632387109809072</v>
      </c>
      <c r="S56" s="13">
        <f t="shared" si="86"/>
        <v>0.16231116202477258</v>
      </c>
      <c r="T56" s="13">
        <f t="shared" si="86"/>
        <v>0.23137866874737401</v>
      </c>
      <c r="AB56" s="12"/>
      <c r="AC56" s="12">
        <f t="shared" ref="AC56:AK56" si="87">(AC8+AC9+AC10)/(AB8+AB9+AB10)-1</f>
        <v>0.15332624331812705</v>
      </c>
      <c r="AD56" s="12">
        <f t="shared" si="87"/>
        <v>-6.4900083718560042E-2</v>
      </c>
      <c r="AE56" s="12">
        <f t="shared" si="87"/>
        <v>-9.7885039574412858E-2</v>
      </c>
      <c r="AF56" s="12">
        <f t="shared" si="87"/>
        <v>8.4910680896355339E-2</v>
      </c>
      <c r="AG56" s="12">
        <f t="shared" si="87"/>
        <v>2.8967446423482368E-3</v>
      </c>
      <c r="AH56" s="12">
        <f t="shared" si="87"/>
        <v>4.9015836505922339E-2</v>
      </c>
      <c r="AI56" s="12">
        <f t="shared" si="87"/>
        <v>4.9061822081394091E-2</v>
      </c>
      <c r="AJ56" s="12">
        <f t="shared" si="87"/>
        <v>4.9105698159194855E-2</v>
      </c>
      <c r="AK56" s="12">
        <f t="shared" si="87"/>
        <v>4.9147557922548213E-2</v>
      </c>
    </row>
    <row r="57" spans="2:37" x14ac:dyDescent="0.25">
      <c r="B57" s="2" t="s">
        <v>53</v>
      </c>
      <c r="G57" s="13">
        <f t="shared" ref="G57:S57" si="88">G12/C12-1</f>
        <v>0.43627834245504293</v>
      </c>
      <c r="H57" s="13">
        <f t="shared" si="88"/>
        <v>0.46657571623465222</v>
      </c>
      <c r="I57" s="13">
        <f t="shared" si="88"/>
        <v>0.31671732522796359</v>
      </c>
      <c r="J57" s="13">
        <f t="shared" si="88"/>
        <v>0.27336860670194008</v>
      </c>
      <c r="K57" s="13">
        <f t="shared" si="88"/>
        <v>0.24550898203592819</v>
      </c>
      <c r="L57" s="13">
        <f t="shared" si="88"/>
        <v>0.21302325581395354</v>
      </c>
      <c r="M57" s="13">
        <f t="shared" si="88"/>
        <v>0.28808864265927969</v>
      </c>
      <c r="N57" s="13">
        <f t="shared" si="88"/>
        <v>0.31486611265004627</v>
      </c>
      <c r="O57" s="13">
        <f t="shared" si="88"/>
        <v>0.15297202797202791</v>
      </c>
      <c r="P57" s="13">
        <f t="shared" si="88"/>
        <v>0.16794478527607359</v>
      </c>
      <c r="Q57" s="13">
        <f t="shared" si="88"/>
        <v>0.24551971326164868</v>
      </c>
      <c r="R57" s="13">
        <f t="shared" si="88"/>
        <v>0.1836376404494382</v>
      </c>
      <c r="S57" s="13">
        <f t="shared" si="88"/>
        <v>0.41963608794541329</v>
      </c>
      <c r="T57" s="13">
        <f>T12/P12-1</f>
        <v>0.50393959290873269</v>
      </c>
      <c r="AB57" s="12"/>
      <c r="AC57" s="12">
        <f t="shared" ref="AC57:AK57" si="89">AC12/AB12-1</f>
        <v>0.36578558528977179</v>
      </c>
      <c r="AD57" s="12">
        <f t="shared" si="89"/>
        <v>0.26625796369755972</v>
      </c>
      <c r="AE57" s="12">
        <f t="shared" si="89"/>
        <v>0.18948167837478636</v>
      </c>
      <c r="AF57" s="12">
        <f t="shared" si="89"/>
        <v>0.29280925778132483</v>
      </c>
      <c r="AG57" s="12">
        <f t="shared" si="89"/>
        <v>0.14999999999999991</v>
      </c>
      <c r="AH57" s="12">
        <f t="shared" si="89"/>
        <v>0.14999999999999991</v>
      </c>
      <c r="AI57" s="12">
        <f t="shared" si="89"/>
        <v>0.14999999999999991</v>
      </c>
      <c r="AJ57" s="12">
        <f t="shared" si="89"/>
        <v>0.14999999999999991</v>
      </c>
      <c r="AK57" s="12">
        <f t="shared" si="89"/>
        <v>0.14999999999999991</v>
      </c>
    </row>
    <row r="58" spans="2:37" x14ac:dyDescent="0.25">
      <c r="B58" s="2" t="s">
        <v>54</v>
      </c>
      <c r="G58" s="13">
        <f t="shared" ref="G58:T58" si="90">G11/C11-1</f>
        <v>1.4821428571428572</v>
      </c>
      <c r="H58" s="13">
        <f t="shared" si="90"/>
        <v>0.7424942263279446</v>
      </c>
      <c r="I58" s="13">
        <f t="shared" si="90"/>
        <v>0.39570277529095788</v>
      </c>
      <c r="J58" s="13">
        <f t="shared" si="90"/>
        <v>9.7709923664122122E-2</v>
      </c>
      <c r="K58" s="13">
        <f t="shared" si="90"/>
        <v>6.9326357096141322E-2</v>
      </c>
      <c r="L58" s="13">
        <f t="shared" si="90"/>
        <v>0.99734923790589791</v>
      </c>
      <c r="M58" s="13">
        <f t="shared" si="90"/>
        <v>0.52405388069275172</v>
      </c>
      <c r="N58" s="13">
        <f t="shared" si="90"/>
        <v>1.1286509040333796</v>
      </c>
      <c r="O58" s="13">
        <f t="shared" si="90"/>
        <v>0.66972477064220182</v>
      </c>
      <c r="P58" s="13">
        <f t="shared" si="90"/>
        <v>-7.4651625746516292E-2</v>
      </c>
      <c r="Q58" s="13">
        <f t="shared" si="90"/>
        <v>0.43728956228956228</v>
      </c>
      <c r="R58" s="13">
        <f t="shared" si="90"/>
        <v>0.25351192420777524</v>
      </c>
      <c r="S58" s="13">
        <f t="shared" si="90"/>
        <v>-0.11794871794871797</v>
      </c>
      <c r="T58" s="13">
        <f t="shared" si="90"/>
        <v>0.12549300824668341</v>
      </c>
      <c r="AB58" s="12"/>
      <c r="AC58" s="12">
        <f t="shared" ref="AC58:AK58" si="91">AC11/AB11-1</f>
        <v>0.54387311332821686</v>
      </c>
      <c r="AD58" s="12">
        <f t="shared" si="91"/>
        <v>0.67125103562551791</v>
      </c>
      <c r="AE58" s="12">
        <f t="shared" si="91"/>
        <v>0.26621058893515759</v>
      </c>
      <c r="AF58" s="12">
        <f t="shared" si="91"/>
        <v>8.7369822253543061E-2</v>
      </c>
      <c r="AG58" s="12">
        <f t="shared" si="91"/>
        <v>0.14999999999999969</v>
      </c>
      <c r="AH58" s="12">
        <f t="shared" si="91"/>
        <v>0.10000000000000009</v>
      </c>
      <c r="AI58" s="12">
        <f t="shared" si="91"/>
        <v>0.10000000000000009</v>
      </c>
      <c r="AJ58" s="12">
        <f t="shared" si="91"/>
        <v>0.10000000000000009</v>
      </c>
      <c r="AK58" s="12">
        <f t="shared" si="91"/>
        <v>0.10000000000000009</v>
      </c>
    </row>
    <row r="59" spans="2:37" x14ac:dyDescent="0.25">
      <c r="B59" s="2" t="s">
        <v>55</v>
      </c>
      <c r="G59" s="13">
        <f t="shared" ref="G59:S59" si="92">G13/C13-1</f>
        <v>0.24381531243335464</v>
      </c>
      <c r="H59" s="13">
        <f t="shared" si="92"/>
        <v>0.47200897602456604</v>
      </c>
      <c r="I59" s="13">
        <f t="shared" si="92"/>
        <v>8.8375128181224838E-2</v>
      </c>
      <c r="J59" s="13">
        <f t="shared" si="92"/>
        <v>3.4912410560078877E-2</v>
      </c>
      <c r="K59" s="13">
        <f t="shared" si="92"/>
        <v>-8.6930429936988296E-2</v>
      </c>
      <c r="L59" s="13">
        <f t="shared" si="92"/>
        <v>2.2987122397400306E-2</v>
      </c>
      <c r="M59" s="13">
        <f t="shared" si="92"/>
        <v>7.8458244111349051E-2</v>
      </c>
      <c r="N59" s="13">
        <f t="shared" si="92"/>
        <v>2.1456669448086885E-2</v>
      </c>
      <c r="O59" s="13">
        <f t="shared" si="92"/>
        <v>-9.2296136331627587E-2</v>
      </c>
      <c r="P59" s="13">
        <f t="shared" si="92"/>
        <v>-0.1178039215686274</v>
      </c>
      <c r="Q59" s="13">
        <f t="shared" si="92"/>
        <v>0.11567786514176803</v>
      </c>
      <c r="R59" s="13">
        <f t="shared" si="92"/>
        <v>-3.1353327887345905E-2</v>
      </c>
      <c r="S59" s="13">
        <f t="shared" si="92"/>
        <v>0.15784846133953967</v>
      </c>
      <c r="T59" s="13">
        <f>T13/P13-1</f>
        <v>0.25515647226173543</v>
      </c>
      <c r="AB59" s="12"/>
      <c r="AC59" s="12">
        <f t="shared" ref="AC59:AK59" si="93">AC13/AB13-1</f>
        <v>0.18795266504627928</v>
      </c>
      <c r="AD59" s="12">
        <f t="shared" si="93"/>
        <v>9.4757835346634955E-3</v>
      </c>
      <c r="AE59" s="12">
        <f t="shared" si="93"/>
        <v>-2.9306991503736279E-2</v>
      </c>
      <c r="AF59" s="12">
        <f t="shared" si="93"/>
        <v>0.11271262404167603</v>
      </c>
      <c r="AG59" s="12">
        <f t="shared" si="93"/>
        <v>4.484050639149606E-2</v>
      </c>
      <c r="AH59" s="12">
        <f t="shared" si="93"/>
        <v>-0.21136442766851082</v>
      </c>
      <c r="AI59" s="12">
        <f t="shared" si="93"/>
        <v>0.59626355270563569</v>
      </c>
      <c r="AJ59" s="12">
        <f t="shared" si="93"/>
        <v>0.47915981934935048</v>
      </c>
      <c r="AK59" s="12">
        <f t="shared" si="93"/>
        <v>0.34409499138351918</v>
      </c>
    </row>
    <row r="60" spans="2:37" x14ac:dyDescent="0.25">
      <c r="B60" s="2" t="s">
        <v>56</v>
      </c>
      <c r="C60" s="13">
        <f t="shared" ref="C60:T60" si="94">C19/C13</f>
        <v>0.29110684580934099</v>
      </c>
      <c r="D60" s="13">
        <f t="shared" si="94"/>
        <v>0.25002952639659853</v>
      </c>
      <c r="E60" s="13">
        <f t="shared" si="94"/>
        <v>0.25086231005873033</v>
      </c>
      <c r="F60" s="13">
        <f t="shared" si="94"/>
        <v>0.23756065465910026</v>
      </c>
      <c r="G60" s="13">
        <f t="shared" si="94"/>
        <v>0.19336448197522396</v>
      </c>
      <c r="H60" s="13">
        <f t="shared" si="94"/>
        <v>0.18185100493440848</v>
      </c>
      <c r="I60" s="13">
        <f t="shared" si="94"/>
        <v>0.17892933618843684</v>
      </c>
      <c r="J60" s="13">
        <f t="shared" si="94"/>
        <v>0.17634203520483172</v>
      </c>
      <c r="K60" s="13">
        <f t="shared" si="94"/>
        <v>0.1735129806112389</v>
      </c>
      <c r="L60" s="13">
        <f t="shared" si="94"/>
        <v>0.17952941176470588</v>
      </c>
      <c r="M60" s="13">
        <f t="shared" si="94"/>
        <v>0.19843539035819235</v>
      </c>
      <c r="N60" s="13">
        <f t="shared" si="94"/>
        <v>0.16256272610572994</v>
      </c>
      <c r="O60" s="13">
        <f t="shared" si="94"/>
        <v>0.16307214895267649</v>
      </c>
      <c r="P60" s="13">
        <f t="shared" si="94"/>
        <v>0.17238620199146515</v>
      </c>
      <c r="Q60" s="13">
        <f t="shared" si="94"/>
        <v>0.1798896600818651</v>
      </c>
      <c r="R60" s="13">
        <f t="shared" si="94"/>
        <v>0.20115658005702583</v>
      </c>
      <c r="S60" s="13">
        <f t="shared" si="94"/>
        <v>0.21083664626792334</v>
      </c>
      <c r="T60" s="13">
        <f t="shared" si="94"/>
        <v>0.16826037682391273</v>
      </c>
      <c r="AB60" s="12">
        <f t="shared" ref="AB60:AK60" si="95">AB19/AB13</f>
        <v>0.25598438535759005</v>
      </c>
      <c r="AC60" s="12">
        <f t="shared" si="95"/>
        <v>0.18248891736331416</v>
      </c>
      <c r="AD60" s="12">
        <f t="shared" si="95"/>
        <v>0.17862626676220697</v>
      </c>
      <c r="AE60" s="12">
        <f t="shared" si="95"/>
        <v>0.18026511436616155</v>
      </c>
      <c r="AF60" s="12">
        <f t="shared" si="95"/>
        <v>0.19285939313537168</v>
      </c>
      <c r="AG60" s="12">
        <f t="shared" si="95"/>
        <v>0.19513081571158658</v>
      </c>
      <c r="AH60" s="12">
        <f t="shared" si="95"/>
        <v>0.19572680145027493</v>
      </c>
      <c r="AI60" s="12">
        <f t="shared" si="95"/>
        <v>0.23209344117104364</v>
      </c>
      <c r="AJ60" s="12">
        <f t="shared" si="95"/>
        <v>0.2140797310035506</v>
      </c>
      <c r="AK60" s="12">
        <f t="shared" si="95"/>
        <v>0.20281960677720395</v>
      </c>
    </row>
    <row r="62" spans="2:37" x14ac:dyDescent="0.25">
      <c r="B62" s="14" t="s">
        <v>57</v>
      </c>
    </row>
    <row r="63" spans="2:37" x14ac:dyDescent="0.25">
      <c r="B63" s="15" t="s">
        <v>58</v>
      </c>
    </row>
    <row r="73" spans="2:2" x14ac:dyDescent="0.25">
      <c r="B73" s="2" t="s">
        <v>68</v>
      </c>
    </row>
    <row r="74" spans="2:2" ht="30" x14ac:dyDescent="0.25">
      <c r="B74" s="9" t="s">
        <v>69</v>
      </c>
    </row>
    <row r="75" spans="2:2" ht="60" x14ac:dyDescent="0.25">
      <c r="B75" s="9" t="s">
        <v>70</v>
      </c>
    </row>
  </sheetData>
  <mergeCells count="1">
    <mergeCell ref="A38:A4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zerr</dc:creator>
  <cp:lastModifiedBy>robin zerr</cp:lastModifiedBy>
  <dcterms:created xsi:type="dcterms:W3CDTF">2026-08-09T03:02:28Z</dcterms:created>
  <dcterms:modified xsi:type="dcterms:W3CDTF">2026-08-10T05:04:16Z</dcterms:modified>
</cp:coreProperties>
</file>