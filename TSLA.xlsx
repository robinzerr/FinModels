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richData/rdrichvaluestructure.xml" ContentType="application/vnd.ms-excel.rdrichvaluestructure+xml"/>
  <Override PartName="/xl/richData/rdrichvalue.xml" ContentType="application/vnd.ms-excel.rdrichvalue+xml"/>
  <Override PartName="/xl/richData/rdRichValueTypes.xml" ContentType="application/vnd.ms-excel.rdrichvaluetyp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2c8a2ff24545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in" sheetId="1" r:id="R2b855ca02f074a9c"/>
    <x:sheet xmlns:r="http://schemas.openxmlformats.org/officeDocument/2006/relationships" name="Model" sheetId="2" r:id="Rcbee135c9bea49df"/>
  </x:sheets>
</x:workbook>
</file>

<file path=xl/comments1.xml><?xml version="1.0" encoding="utf-8"?>
<x:comments xmlns:x="http://schemas.openxmlformats.org/spreadsheetml/2006/main">
  <x:authors>
    <x:author>tc={6BEA7F0A-B58E-0E99-CD62-1E2622FFC1C5}</x:author>
  </x:authors>
  <x:commentList>
    <x:comment ref="AF39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Illustrative base-case target P/E assumption. Held constant across forecast years so changes in implied price reflect forecast EPS only; revise after reviewing comparable companies, Tesla's historical forward P/E, growth, and risk.</x:t>
        </x:r>
      </x:text>
    </x:comment>
  </x:commentList>
</x:comments>
</file>

<file path=xl/metadata1.xml><?xml version="1.0" encoding="utf-8"?>
<x:metadata xmlns:x="http://schemas.openxmlformats.org/spreadsheetml/2006/main">
  <x:metadataTypes count="2">
    <x:metadataType name="XLDAPR" minSupportedVersion="120000" copy="1" pasteAll="1" pasteValues="1" merge="1" splitFirst="1" rowColShift="1" clearFormats="1" clearComments="1" assign="1" coerce="1" cellMeta="1"/>
    <x:metadataType name="XLRICHVALUE" minSupportedVersion="120000" copy="1" pasteAll="1" pasteValues="1" merge="1" splitFirst="1" rowColShift="1" clearFormats="1" clearComments="1" assign="1" coerce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futureMetadata name="XLRICHVALUE" count="1">
    <x:bk>
      <x:extLst>
        <x:ext uri="{3e2802c4-a4d2-4d8b-9148-e3be6c30e623}">
          <xlrd:rvb xmlns:xlrd="http://schemas.microsoft.com/office/spreadsheetml/2017/richdata" i="0"/>
        </x:ext>
      </x:extLst>
    </x:bk>
  </x:futureMetadata>
  <x:cellMetadata count="1">
    <x:bk>
      <x:rc t="1" v="0"/>
    </x:bk>
  </x:cellMetadata>
  <x:valueMetadata count="1">
    <x:bk>
      <x:rc t="2" v="0"/>
    </x:bk>
  </x:valueMetadata>
</x:metadata>
</file>

<file path=xl/sharedStrings.xml><?xml version="1.0" encoding="utf-8"?>
<x:sst xmlns:x="http://schemas.openxmlformats.org/spreadsheetml/2006/main">
  <x:si>
    <x:t xml:space="preserve">Price</x:t>
  </x:si>
  <x:si>
    <x:t xml:space="preserve">Shares</x:t>
  </x:si>
  <x:si>
    <x:t xml:space="preserve">MC</x:t>
  </x:si>
  <x:si>
    <x:t xml:space="preserve">Cash</x:t>
  </x:si>
  <x:si>
    <x:t xml:space="preserve">Debt</x:t>
  </x:si>
  <x:si>
    <x:t xml:space="preserve">EV (Enterprise Value)</x:t>
  </x:si>
  <x:si>
    <x:t xml:space="preserve">Main</x:t>
  </x:si>
  <x:si>
    <x:t xml:space="preserve">Q122</x:t>
  </x:si>
  <x:si>
    <x:t xml:space="preserve">Q222</x:t>
  </x:si>
  <x:si>
    <x:t xml:space="preserve">Q322</x:t>
  </x:si>
  <x:si>
    <x:t xml:space="preserve">Q422</x:t>
  </x:si>
  <x:si>
    <x:t xml:space="preserve">Q123</x:t>
  </x:si>
  <x:si>
    <x:t xml:space="preserve">Q223</x:t>
  </x:si>
  <x:si>
    <x:t xml:space="preserve">Q323</x:t>
  </x:si>
  <x:si>
    <x:t xml:space="preserve">Q423</x:t>
  </x:si>
  <x:si>
    <x:t xml:space="preserve">Q124</x:t>
  </x:si>
  <x:si>
    <x:t xml:space="preserve">Q224</x:t>
  </x:si>
  <x:si>
    <x:t xml:space="preserve">Q324</x:t>
  </x:si>
  <x:si>
    <x:t xml:space="preserve">Q424</x:t>
  </x:si>
  <x:si>
    <x:t xml:space="preserve">Q125</x:t>
  </x:si>
  <x:si>
    <x:t xml:space="preserve">Q225</x:t>
  </x:si>
  <x:si>
    <x:t xml:space="preserve">Q325</x:t>
  </x:si>
  <x:si>
    <x:t xml:space="preserve">Q425</x:t>
  </x:si>
  <x:si>
    <x:t xml:space="preserve">Q126</x:t>
  </x:si>
  <x:si>
    <x:t xml:space="preserve">Q226</x:t>
  </x:si>
  <x:si>
    <x:t xml:space="preserve">Q326</x:t>
  </x:si>
  <x:si>
    <x:t xml:space="preserve">Q426</x:t>
  </x:si>
  <x:si>
    <x:t xml:space="preserve">Q127</x:t>
  </x:si>
  <x:si>
    <x:t xml:space="preserve">Q227</x:t>
  </x:si>
  <x:si>
    <x:t xml:space="preserve">Q327</x:t>
  </x:si>
  <x:si>
    <x:t xml:space="preserve">Q427</x:t>
  </x:si>
  <x:si>
    <x:t xml:space="preserve">Valuation Block</x:t>
  </x:si>
  <x:si>
    <x:t xml:space="preserve">Car Deliveries</x:t>
  </x:si>
  <x:si>
    <x:t xml:space="preserve">Energy Storage GWH</x:t>
  </x:si>
  <x:si>
    <x:t xml:space="preserve">Automotive sales</x:t>
  </x:si>
  <x:si>
    <x:t xml:space="preserve">Automotive leasing revenue</x:t>
  </x:si>
  <x:si>
    <x:t xml:space="preserve">Automotive regulatory credits </x:t>
  </x:si>
  <x:si>
    <x:t xml:space="preserve">Energy generation and storage sales</x:t>
  </x:si>
  <x:si>
    <x:t xml:space="preserve">Services Sales</x:t>
  </x:si>
  <x:si>
    <x:t xml:space="preserve">Total Revenue</x:t>
  </x:si>
  <x:si>
    <x:t xml:space="preserve">Automotive COGS</x:t>
  </x:si>
  <x:si>
    <x:t xml:space="preserve">Automotive Leasing COGS</x:t>
  </x:si>
  <x:si>
    <x:t xml:space="preserve">Energy generation and storage COGS</x:t>
  </x:si>
  <x:si>
    <x:t xml:space="preserve">Services COGS</x:t>
  </x:si>
  <x:si>
    <x:t xml:space="preserve">Total COGS</x:t>
  </x:si>
  <x:si>
    <x:t xml:space="preserve">Gross Profit</x:t>
  </x:si>
  <x:si>
    <x:t xml:space="preserve">R&amp;D</x:t>
  </x:si>
  <x:si>
    <x:t xml:space="preserve">Selling General and Administrative (SG&amp;A)</x:t>
  </x:si>
  <x:si>
    <x:t xml:space="preserve">Restructuring</x:t>
  </x:si>
  <x:si>
    <x:t xml:space="preserve">Total Operating expenses</x:t>
  </x:si>
  <x:si>
    <x:t xml:space="preserve">Operating Income</x:t>
  </x:si>
  <x:si>
    <x:t xml:space="preserve">Interest Income</x:t>
  </x:si>
  <x:si>
    <x:t xml:space="preserve">Interest Expenses</x:t>
  </x:si>
  <x:si>
    <x:t xml:space="preserve">Other income net</x:t>
  </x:si>
  <x:si>
    <x:t xml:space="preserve">Pretax income</x:t>
  </x:si>
  <x:si>
    <x:t xml:space="preserve">Taxes </x:t>
  </x:si>
  <x:si>
    <x:t xml:space="preserve">Net Income</x:t>
  </x:si>
  <x:si>
    <x:t xml:space="preserve">Less: noncontrolling interests</x:t>
  </x:si>
  <x:si>
    <x:t xml:space="preserve">Net income to common stockholders</x:t>
  </x:si>
  <x:si>
    <x:t xml:space="preserve">EPS (Earnings Per Shares)</x:t>
  </x:si>
  <x:si>
    <x:t xml:space="preserve">Diluted EPS</x:t>
  </x:si>
  <x:si>
    <x:t xml:space="preserve">Diluted Shares</x:t>
  </x:si>
  <x:si>
    <x:t xml:space="preserve">ASP (Average selling price) for automotive sales
In Dollars</x:t>
  </x:si>
  <x:si>
    <x:t xml:space="preserve">Energy revenue per GWh ($)</x:t>
  </x:si>
  <x:si>
    <x:t xml:space="preserve">DRIVERS</x:t>
  </x:si>
  <x:si>
    <x:t xml:space="preserve">Automotive gross margin </x:t>
  </x:si>
  <x:si>
    <x:t xml:space="preserve">Automotive Leasing Gross margin</x:t>
  </x:si>
  <x:si>
    <x:t xml:space="preserve">Energy Gross Margin</x:t>
  </x:si>
  <x:si>
    <x:t xml:space="preserve">Services Gross margin</x:t>
  </x:si>
  <x:si>
    <x:t xml:space="preserve">R&amp;D percentage of Revenue</x:t>
  </x:si>
  <x:si>
    <x:t xml:space="preserve">SG&amp;A percentage of Revenue (COGS)</x:t>
  </x:si>
  <x:si>
    <x:t xml:space="preserve">Restructuring </x:t>
  </x:si>
  <x:si>
    <x:t xml:space="preserve">Historical Tax Rate</x:t>
  </x:si>
  <x:si>
    <x:t xml:space="preserve">Automotive Growth</x:t>
  </x:si>
  <x:si>
    <x:t xml:space="preserve">Services Growth</x:t>
  </x:si>
  <x:si>
    <x:t xml:space="preserve">Energy and Storage Growth </x:t>
  </x:si>
  <x:si>
    <x:t xml:space="preserve">Revenue Growth</x:t>
  </x:si>
  <x:si>
    <x:t xml:space="preserve">Gross Margin</x:t>
  </x:si>
  <x:si>
    <x:t xml:space="preserve">Growth rows are year over year (same quarter, prior year). Automotive Growth = total automotive revenue (sales + leasing + regulatory credits). Gross Margin = Gross Profit / Total Revenue.</x:t>
  </x:si>
  <x:si>
    <x:t xml:space="preserve">Q4 columns (F, J, N, R) are derived: full-year figures from the 10-K less Q1+Q2+Q3. Weighted-average share counts are not additive, so rows 34 and 36 are left blank in those columns and must be entered from the Q4 earnings release.</x:t>
  </x:si>
  <x:si>
    <x:t xml:space="preserve">NOTES:</x:t>
  </x:si>
  <x:si>
    <x:t xml:space="preserve">Higher Historical growth for energy - 
expecting moderate going forward</x:t>
  </x:si>
  <x:si>
    <x:t xml:space="preserve">Moderate or zero growth for car deliveries
Unless new market comes to fruition. 
Could expect a decline in deliveries due to 
growing competitors </x:t>
  </x:si>
</x:sst>
</file>

<file path=xl/styles.xml><?xml version="1.0" encoding="utf-8"?>
<x:styleSheet xmlns:x="http://schemas.openxmlformats.org/spreadsheetml/2006/main">
  <x:numFmts count="10">
    <x:numFmt numFmtId="8" formatCode="&quot;$&quot;#,##0.00;[Red]\-&quot;$&quot;#,##0.00"/>
    <x:numFmt numFmtId="164" formatCode="0.00;[Red]0.00"/>
    <x:numFmt numFmtId="165" formatCode="0.0%"/>
    <x:numFmt numFmtId="166" formatCode="#,##0.0"/>
    <x:numFmt numFmtId="167" formatCode="0;[Red]0"/>
    <x:numFmt numFmtId="168" formatCode="0.0%;[Red]\-0.0%"/>
    <x:numFmt numFmtId="169" formatCode="&quot;$&quot;#,##0.00"/>
    <x:numFmt numFmtId="170" formatCode="&quot;$&quot;#,##0.0"/>
    <x:numFmt numFmtId="200" formatCode="0.0x;[Red](0.0x);-"/>
    <x:numFmt numFmtId="201" formatCode="$0.00;[Red]($0.00);-"/>
  </x:numFmts>
  <x:fonts count="8">
    <x:font>
      <x:sz val="11"/>
      <x:color theme="1"/>
      <x:name val="Aptos Narrow"/>
    </x:font>
    <x:font>
      <x:sz val="11"/>
      <x:color theme="1"/>
      <x:name val="Aptos Narrow"/>
    </x:font>
    <x:font>
      <x:b/>
      <x:sz val="11"/>
      <x:color theme="1"/>
      <x:name val="Aptos Narrow"/>
    </x:font>
    <x:font>
      <x:i/>
      <x:sz val="9"/>
      <x:name val="Aptos Narrow"/>
    </x:font>
    <x:font>
      <x:b/>
      <x:sz val="11"/>
      <x:color theme="1"/>
      <x:name val="Courier New"/>
    </x:font>
    <x:font>
      <x:i/>
      <x:sz val="9"/>
      <x:name val="Aptos Narrow"/>
    </x:font>
    <x:font>
      <x:sz val="11"/>
      <x:color rgb="FF0000FF"/>
      <x:name val="Aptos Narrow"/>
    </x:font>
    <x:font>
      <x:sz val="11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theme="5" tint="0.79998"/>
      </x:patternFill>
    </x:fill>
  </x:fills>
  <x:borders count="1">
    <x:border/>
  </x:borders>
  <x:cellStyleXfs count="2">
    <x:xf numFmtId="0" fontId="0" fillId="0" borderId="0"/>
    <x:xf numFmtId="9" fontId="1" fillId="0" borderId="0"/>
  </x:cellStyleXfs>
  <x:cellXfs count="24">
    <x:xf numFmtId="0" fontId="0" fillId="0" borderId="0" xfId="0"/>
    <x:xf numFmtId="9" fontId="0" fillId="0" borderId="0" xfId="1" applyFont="1"/>
    <x:xf numFmtId="164" fontId="0" fillId="0" borderId="0" xfId="0" applyNumberFormat="1" applyAlignment="1">
      <x:alignment horizontal="center" vertical="center"/>
    </x:xf>
    <x:xf numFmtId="166" fontId="0" fillId="0" borderId="0" xfId="0" applyNumberFormat="1"/>
    <x:xf numFmtId="170" fontId="0" fillId="0" borderId="0" xfId="0" applyNumberFormat="1"/>
    <x:xf numFmtId="169" fontId="4" fillId="0" borderId="0" xfId="0" applyNumberFormat="1" applyFont="1"/>
    <x:xf numFmtId="167" fontId="0" fillId="2" borderId="0" xfId="0" applyNumberFormat="1" applyFill="1" applyAlignment="1">
      <x:alignment horizontal="center" vertical="center"/>
    </x:xf>
    <x:xf numFmtId="0" fontId="0" fillId="0" borderId="0" xfId="0" applyAlignment="1">
      <x:alignment horizontal="center" vertical="center"/>
    </x:xf>
    <x:xf numFmtId="164" fontId="2" fillId="0" borderId="0" xfId="0" applyNumberFormat="1" applyFont="1" applyAlignment="1">
      <x:alignment horizontal="center" vertical="center"/>
    </x:xf>
    <x:xf numFmtId="164" fontId="0" fillId="0" borderId="0" xfId="0" applyNumberFormat="1" applyAlignment="1">
      <x:alignment horizontal="center" vertical="center" wrapText="1"/>
    </x:xf>
    <x:xf numFmtId="8" fontId="0" fillId="0" borderId="0" xfId="0" applyNumberFormat="1" applyAlignment="1">
      <x:alignment horizontal="center" vertical="center"/>
    </x:xf>
    <x:xf numFmtId="9" fontId="0" fillId="0" borderId="0" xfId="0" applyNumberFormat="1" applyAlignment="1">
      <x:alignment horizontal="center" vertical="center"/>
    </x:xf>
    <x:xf numFmtId="168" fontId="0" fillId="0" borderId="0" xfId="0" applyNumberFormat="1" applyAlignment="1">
      <x:alignment horizontal="center" vertical="center"/>
    </x:xf>
    <x:xf numFmtId="165" fontId="0" fillId="0" borderId="0" xfId="0" applyNumberFormat="1" applyAlignment="1">
      <x:alignment horizontal="center" vertical="center"/>
    </x:xf>
    <x:xf numFmtId="0" fontId="5" fillId="0" borderId="0" xfId="0" applyFont="1" applyAlignment="1">
      <x:alignment horizontal="left" vertical="center"/>
    </x:xf>
    <x:xf numFmtId="0" fontId="3" fillId="0" borderId="0" xfId="0" applyFont="1" applyAlignment="1">
      <x:alignment horizontal="left" vertical="center"/>
    </x:xf>
    <x:xf numFmtId="164" fontId="0" fillId="0" borderId="0" xfId="0" applyNumberFormat="1" applyAlignment="1">
      <x:alignment horizontal="center"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0" fontId="6" fillId="0" borderId="0" xfId="0" applyNumberFormat="1" applyFont="1" applyFill="1" applyBorder="1"/>
    <x:xf numFmtId="201" fontId="7" fillId="0" borderId="0" xfId="0" applyNumberFormat="1" applyFont="1" applyFill="1" applyBorder="1"/>
    <x:xf numFmtId="200" fontId="6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 applyAlignment="1">
      <x:alignment horizontal="left"/>
    </x:xf>
  </x:cellXfs>
  <x:cellStyles count="2">
    <x:cellStyle name="Normal" xfId="0"/>
    <x:cellStyle name="Per cent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38e6f2220644ad" /><Relationship Type="http://schemas.openxmlformats.org/officeDocument/2006/relationships/theme" Target="/xl/theme/theme1.xml" Id="Ree40e7e65c314fb3" /><Relationship Type="http://schemas.openxmlformats.org/officeDocument/2006/relationships/sheetMetadata" Target="/xl/metadata1.xml" Id="Rd0905a5056f44b56" /><Relationship Type="http://schemas.microsoft.com/office/2017/06/relationships/rdRichValueStructure" Target="/xl/richData/rdrichvaluestructure.xml" Id="Rbb83be7ed9f94e2b" /><Relationship Type="http://schemas.microsoft.com/office/2017/06/relationships/rdRichValue" Target="/xl/richData/rdrichvalue.xml" Id="Rc99bca5f2f7744b1" /><Relationship Type="http://schemas.microsoft.com/office/2017/06/relationships/rdRichValueTypes" Target="/xl/richData/rdRichValueTypes.xml" Id="R876262dc1a8f4a3c" /><Relationship Type="http://schemas.openxmlformats.org/officeDocument/2006/relationships/sharedStrings" Target="/xl/sharedStrings.xml" Id="R21c9214969874550" /><Relationship Type="http://schemas.openxmlformats.org/officeDocument/2006/relationships/worksheet" Target="/xl/worksheets/sheet1.xml" Id="R2b855ca02f074a9c" /><Relationship Type="http://schemas.openxmlformats.org/officeDocument/2006/relationships/worksheet" Target="/xl/worksheets/sheet2.xml" Id="Rcbee135c9bea49df" /><Relationship Type="http://schemas.microsoft.com/office/2017/10/relationships/person" Target="/xl/persons/person.xml" Id="R1f7fb5d662b84ba5" /></Relationships>
</file>

<file path=xl/drawings/drawing1.xml><?xml version="1.0" encoding="utf-8"?>
<xdr:wsDr xmlns:xdr="http://schemas.openxmlformats.org/drawingml/2006/spreadsheetDrawing">
  <xdr:twoCellAnchor editAs="oneCell">
    <xdr:from>
      <xdr:col>20</xdr:col>
      <xdr:colOff>0</xdr:colOff>
      <xdr:row>0</xdr:row>
      <xdr:rowOff>33618</xdr:rowOff>
    </xdr:from>
    <xdr:to>
      <xdr:col>20</xdr:col>
      <xdr:colOff>22411</xdr:colOff>
      <xdr:row>67</xdr:row>
      <xdr:rowOff>168088</xdr:rowOff>
    </xdr:to>
    <xdr:sp>
      <xdr:nvSpPr>
        <xdr:cNvPr id="1" name="Straight Connector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18030265" y="33618"/>
          <a:ext cx="22411" cy="11284323"/>
        </a:xfrm>
        <a:prstGeom xmlns:a="http://schemas.openxmlformats.org/drawingml/2006/main" prst="line">
          <a:avLst/>
        </a:prstGeom>
      </xdr:spPr>
      <x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xdr:style>
    </xdr:sp>
    <xdr:clientData/>
  </xdr:twoCellAnchor>
  <xdr:twoCellAnchor editAs="oneCell">
    <xdr:from>
      <xdr:col>31</xdr:col>
      <xdr:colOff>40342</xdr:colOff>
      <xdr:row>0</xdr:row>
      <xdr:rowOff>0</xdr:rowOff>
    </xdr:from>
    <xdr:to>
      <xdr:col>31</xdr:col>
      <xdr:colOff>62753</xdr:colOff>
      <xdr:row>67</xdr:row>
      <xdr:rowOff>134470</xdr:rowOff>
    </xdr:to>
    <xdr:sp>
      <xdr:nvSpPr>
        <xdr:cNvPr id="2" name="Straight Connector 4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26811195" y="0"/>
          <a:ext cx="22411" cy="12998823"/>
        </a:xfrm>
        <a:prstGeom xmlns:a="http://schemas.openxmlformats.org/drawingml/2006/main" prst="line">
          <a:avLst/>
        </a:prstGeom>
      </xdr:spPr>
      <x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xdr:style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0D634420-71DD-4B3C-A2DD-61645AF105D5}"/>
</xltc:personList>
</file>

<file path=xl/richData/rdRichValueTypes.xml><?xml version="1.0" encoding="utf-8"?>
<xlrd2:rvTypesInfo xmlns:xlrd2="http://schemas.microsoft.com/office/spreadsheetml/2017/richdata2">
  <xlrd2:global>
    <xlrd2:keyFlags>
      <xlrd2:key name="_Self">
        <xlrd2:flag name="ExcludeFromFile" value="1"/>
        <xlrd2:flag name="ExcludeFromCalcComparison" value="1"/>
      </xlrd2:key>
      <xlrd2:key name="_DisplayString">
        <xlrd2:flag name="ExcludeFromCalcComparison" value="1"/>
      </xlrd2:key>
      <xlrd2:key name="_Flags">
        <xlrd2:flag name="ExcludeFromCalcComparison" value="1"/>
      </xlrd2:key>
      <xlrd2:key name="_Format">
        <xlrd2:flag name="ExcludeFromCalcComparison" value="1"/>
      </xlrd2:key>
      <xlrd2:key name="_SubLabel">
        <xlrd2:flag name="ExcludeFromCalcComparison" value="1"/>
      </xlrd2:key>
      <xlrd2:key name="_Attribution">
        <xlrd2:flag name="ExcludeFromCalcComparison" value="1"/>
      </xlrd2:key>
      <xlrd2:key name="_Icon">
        <xlrd2:flag name="ExcludeFromCalcComparison" value="1"/>
      </xlrd2:key>
      <xlrd2:key name="_Display">
        <xlrd2:flag name="ExcludeFromCalcComparison" value="1"/>
      </xlrd2:key>
      <xlrd2:key name="_CanonicalPropertyNames">
        <xlrd2:flag name="ExcludeFromCalcComparison" value="1"/>
      </xlrd2:key>
      <xlrd2:key name="_ClassificationId">
        <xlrd2:flag name="ExcludeFromCalcComparison" value="1"/>
      </xlrd2:key>
    </xlrd2:keyFlags>
  </xlrd2:global>
</xlrd2:rvTypesInfo>
</file>

<file path=xl/richData/rdrichvalue.xml><?xml version="1.0" encoding="utf-8"?>
<xlrd:rvData xmlns:xlrd="http://schemas.microsoft.com/office/spreadsheetml/2017/richdata" count="2">
  <xlrd:rv s="0">
    <xlrd:v>0</xlrd:v>
  </xlrd:rv>
  <xlrd:rv s="1">
    <xlrd:v>1</xlrd:v>
    <xlrd:v>TSLA</xlrd:v>
    <xlrd:v>Daily</xlrd:v>
    <xlrd:v>46229</xlrd:v>
    <xlrd:v>46243</xlrd:v>
    <xlrd:v>0</xlrd:v>
    <xlrd:v>1</xlrd:v>
    <xlrd:v>639216576000000000,639219331665938992,0</xlrd:v>
    <xlrd:v>0</xlrd:v>
    <xlrd:v>a24kar</xlrd:v>
    <xlrd:v>XNAS:TSLA</xlrd:v>
    <xlrd:v>1</xlrd:v>
  </xlrd:rv>
</xlrd:rvData>
</file>

<file path=xl/richData/rdrichvaluestructure.xml><?xml version="1.0" encoding="utf-8"?>
<xlrd:rvStructures xmlns:xlrd="http://schemas.microsoft.com/office/spreadsheetml/2017/richdata" count="2">
  <xlrd:s t="_formattednumber">
    <xlrd:k n="_Format" t="spb"/>
  </xlrd:s>
  <xlrd:s t="_stockhistorycache">
    <xlrd:k n="_Format" t="spb"/>
    <xlrd:k n="Symbol" t="s"/>
    <xlrd:k n="Interval" t="s"/>
    <xlrd:k n="StartDate" t="i"/>
    <xlrd:k n="EndDate" t="i"/>
    <xlrd:k n="f1904" t="b"/>
    <xlrd:k n="fdcompat" t="b"/>
    <xlrd:k n="etag" t="s"/>
    <xlrd:k n="Date" t="a"/>
    <xlrd:k n="EntityId" t="s"/>
    <xlrd:k n="Instrument" t="s"/>
    <xlrd:k n="Close" t="a"/>
  </xlrd:s>
</xlrd: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F39" dT="2026-08-10T04:44:57.067" personId="{0D634420-71DD-4B3C-A2DD-61645AF105D5}" id="{6BEA7F0A-B58E-0E99-CD62-1E2622FFC1C5}">
    <xltc:text>Illustrative base-case target P/E assumption. Held constant across forecast years so changes in implied price reflect forecast EPS only; revise after reviewing comparable companies, Tesla's historical forward P/E, growth, and risk.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40fc3a3fecda47e7" /><Relationship Type="http://schemas.openxmlformats.org/officeDocument/2006/relationships/vmlDrawing" Target="/xl/drawings/vmldrawing.vml" Id="R6217d2769a1d48dc" /><Relationship Type="http://schemas.microsoft.com/office/2017/10/relationships/threadedComment" Target="/xl/threadedcomments/threadedcomment.xml" Id="R76a086bbdcf143e9" /><Relationship Type="http://schemas.openxmlformats.org/officeDocument/2006/relationships/drawing" Target="/xl/drawings/drawing1.xml" Id="Rb0028797c2fe4d1f" /></Relationships>
</file>

<file path=xl/worksheets/sheet1.xml><?xml version="1.0" encoding="utf-8"?>
<x:worksheet xmlns:x="http://schemas.openxmlformats.org/spreadsheetml/2006/main">
  <x:sheetFormatPr defaultRowHeight="15"/>
  <x:cols>
    <x:col min="14" max="14" width="19.5703125" customWidth="1"/>
    <x:col min="15" max="15" width="12" customWidth="1"/>
  </x:cols>
  <x:sheetData>
    <x:row r="3" ht="15.75">
      <x:c r="N3" t="s">
        <x:v>0</x:v>
      </x:c>
      <x:c r="O3" s="5" t="e" cm="1" vm="1">
        <x:f t="array" aca="1" ref="O3" ca="1">_xlfn.LET(_xlpm.p,_xlfn.STOCKHISTORY("TSLA",TODAY()-14,TODAY(),0,0,1),INDEX(_xlpm.p,ROWS(_xlpm.p),1))</x:f>
        <x:v>STOCKHISTORY is not implemented. stock=TSLA, startDate=46229, endDate=46243, interval=0, headers=0, properties1=1, rest.length=0</x:v>
      </x:c>
    </x:row>
    <x:row r="4">
      <x:c r="N4" t="s">
        <x:v>1</x:v>
      </x:c>
      <x:c r="O4" s="3">
        <x:v>3949.5473940000002</x:v>
      </x:c>
    </x:row>
    <x:row r="5">
      <x:c r="N5" t="s">
        <x:v>2</x:v>
      </x:c>
      <x:c r="O5" s="4" t="e">
        <x:f ca="1">O3*O4</x:f>
        <x:v>STOCKHISTORY is not implemented. stock=TSLA, startDate=46229, endDate=46243, interval=0, headers=0, properties1=1, rest.length=0</x:v>
      </x:c>
    </x:row>
    <x:row r="6">
      <x:c r="N6" t="s">
        <x:v>3</x:v>
      </x:c>
      <x:c r="O6" s="4" t="n">
        <x:f>15219+28305</x:f>
        <x:v>43524</x:v>
      </x:c>
    </x:row>
    <x:row r="7">
      <x:c r="N7" t="s">
        <x:v>4</x:v>
      </x:c>
      <x:c r="O7" s="4" t="n">
        <x:f>1418+7924</x:f>
        <x:v>9342</x:v>
      </x:c>
    </x:row>
    <x:row r="8">
      <x:c r="N8" t="s">
        <x:v>5</x:v>
      </x:c>
      <x:c r="O8" s="4" t="e">
        <x:f ca="1">O5-O6+O7</x:f>
        <x:v>STOCKHISTORY is not implemented. stock=TSLA, startDate=46229, endDate=46243, interval=0, headers=0, properties1=1, rest.length=0</x:v>
      </x:c>
    </x:row>
    <x:row r="9">
      <x:c r="N9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" style="2" customWidth="1"/>
    <x:col min="2" max="2" width="40.42578125" style="2" customWidth="1"/>
    <x:col min="3" max="26" width="12.7109375" style="2" customWidth="1"/>
    <x:col min="27" max="27" width="9.140625" style="2" customWidth="0"/>
    <x:col min="28" max="37" width="15" style="2" customWidth="1"/>
    <x:col min="38" max="38" width="9.140625" style="2" customWidth="0"/>
    <x:col min="39" max="39" width="15.7109375" style="2" customWidth="1"/>
    <x:col min="40" max="16384" width="9.140625" style="2" customWidth="0"/>
  </x:cols>
  <x:sheetData>
    <x:row r="1">
      <x:c r="A1" s="2" t="s">
        <x:v>6</x:v>
      </x:c>
    </x:row>
    <x:row r="3">
      <x:c r="C3" s="2" t="s">
        <x:v>7</x:v>
      </x:c>
      <x:c r="D3" s="2" t="s">
        <x:v>8</x:v>
      </x:c>
      <x:c r="E3" s="2" t="s">
        <x:v>9</x:v>
      </x:c>
      <x:c r="F3" s="2" t="s">
        <x:v>10</x:v>
      </x:c>
      <x:c r="G3" s="2" t="s">
        <x:v>11</x:v>
      </x:c>
      <x:c r="H3" s="2" t="s">
        <x:v>12</x:v>
      </x:c>
      <x:c r="I3" s="2" t="s">
        <x:v>13</x:v>
      </x:c>
      <x:c r="J3" s="2" t="s">
        <x:v>14</x:v>
      </x:c>
      <x:c r="K3" s="2" t="s">
        <x:v>15</x:v>
      </x:c>
      <x:c r="L3" s="2" t="s">
        <x:v>16</x:v>
      </x:c>
      <x:c r="M3" s="2" t="s">
        <x:v>17</x:v>
      </x:c>
      <x:c r="N3" s="2" t="s">
        <x:v>18</x:v>
      </x:c>
      <x:c r="O3" s="2" t="s">
        <x:v>19</x:v>
      </x:c>
      <x:c r="P3" s="2" t="s">
        <x:v>20</x:v>
      </x:c>
      <x:c r="Q3" s="2" t="s">
        <x:v>21</x:v>
      </x:c>
      <x:c r="R3" s="2" t="s">
        <x:v>22</x:v>
      </x:c>
      <x:c r="S3" s="2" t="s">
        <x:v>23</x:v>
      </x:c>
      <x:c r="T3" s="2" t="s">
        <x:v>24</x:v>
      </x:c>
      <x:c r="U3" s="2" t="s">
        <x:v>25</x:v>
      </x:c>
      <x:c r="V3" s="2" t="s">
        <x:v>26</x:v>
      </x:c>
      <x:c r="W3" s="2" t="s">
        <x:v>27</x:v>
      </x:c>
      <x:c r="X3" s="2" t="s">
        <x:v>28</x:v>
      </x:c>
      <x:c r="Y3" s="2" t="s">
        <x:v>29</x:v>
      </x:c>
      <x:c r="Z3" s="2" t="s">
        <x:v>30</x:v>
      </x:c>
      <x:c r="AB3" s="6">
        <x:v>2022</x:v>
      </x:c>
      <x:c r="AC3" s="6">
        <x:v>2023</x:v>
      </x:c>
      <x:c r="AD3" s="6">
        <x:v>2024</x:v>
      </x:c>
      <x:c r="AE3" s="6">
        <x:v>2025</x:v>
      </x:c>
      <x:c r="AF3" s="6">
        <x:v>2026</x:v>
      </x:c>
      <x:c r="AG3" s="6">
        <x:v>2027</x:v>
      </x:c>
      <x:c r="AH3" s="6">
        <x:v>2028</x:v>
      </x:c>
      <x:c r="AI3" s="6">
        <x:v>2029</x:v>
      </x:c>
      <x:c r="AJ3" s="6">
        <x:v>2030</x:v>
      </x:c>
      <x:c r="AK3" s="6">
        <x:v>2031</x:v>
      </x:c>
      <x:c r="AM3" s="2" t="s">
        <x:v>31</x:v>
      </x:c>
    </x:row>
    <x:row r="4">
      <x:c r="B4" s="2" t="s">
        <x:v>32</x:v>
      </x:c>
      <x:c r="C4" s="2">
        <x:v>310048</x:v>
      </x:c>
      <x:c r="D4" s="2">
        <x:v>254695</x:v>
      </x:c>
      <x:c r="E4" s="2">
        <x:v>343830</x:v>
      </x:c>
      <x:c r="F4" s="2">
        <x:v>405278</x:v>
      </x:c>
      <x:c r="G4" s="2">
        <x:v>422875</x:v>
      </x:c>
      <x:c r="H4" s="2">
        <x:v>466140</x:v>
      </x:c>
      <x:c r="I4" s="2">
        <x:v>435059</x:v>
      </x:c>
      <x:c r="J4" s="2">
        <x:v>484507</x:v>
      </x:c>
      <x:c r="K4" s="2">
        <x:v>386810</x:v>
      </x:c>
      <x:c r="L4" s="2">
        <x:v>443956</x:v>
      </x:c>
      <x:c r="M4" s="2">
        <x:v>462890</x:v>
      </x:c>
      <x:c r="N4" s="2">
        <x:v>495570</x:v>
      </x:c>
      <x:c r="O4" s="2">
        <x:v>336681</x:v>
      </x:c>
      <x:c r="P4" s="2">
        <x:v>384122</x:v>
      </x:c>
      <x:c r="Q4" s="2">
        <x:v>497099</x:v>
      </x:c>
      <x:c r="R4" s="2">
        <x:v>418227</x:v>
      </x:c>
      <x:c r="S4" s="2">
        <x:v>358023</x:v>
      </x:c>
      <x:c r="T4" s="2">
        <x:v>480126</x:v>
      </x:c>
      <x:c r="U4" s="2">
        <x:v>497099</x:v>
      </x:c>
      <x:c r="V4" s="2">
        <x:v>418227</x:v>
      </x:c>
      <x:c r="W4" s="2">
        <x:v>358023</x:v>
      </x:c>
      <x:c r="X4" s="2">
        <x:v>480126</x:v>
      </x:c>
      <x:c r="Y4" s="2">
        <x:v>497099</x:v>
      </x:c>
      <x:c r="Z4" s="2">
        <x:v>418227</x:v>
      </x:c>
    </x:row>
    <x:row r="5">
      <x:c r="B5" s="2" t="s">
        <x:v>33</x:v>
      </x:c>
      <x:c r="C5" s="2">
        <x:v>0.84599999999999997</x:v>
      </x:c>
      <x:c r="D5" s="2">
        <x:v>1.133</x:v>
      </x:c>
      <x:c r="E5" s="2">
        <x:v>2.1</x:v>
      </x:c>
      <x:c r="F5" s="2">
        <x:v>2.4620000000000002</x:v>
      </x:c>
      <x:c r="G5" s="2">
        <x:v>3.8889999999999998</x:v>
      </x:c>
      <x:c r="H5" s="2">
        <x:v>3.653</x:v>
      </x:c>
      <x:c r="I5" s="2">
        <x:v>3.98</x:v>
      </x:c>
      <x:c r="J5" s="2">
        <x:v>3.202</x:v>
      </x:c>
      <x:c r="K5" s="2">
        <x:v>4.0529999999999999</x:v>
      </x:c>
      <x:c r="L5" s="2">
        <x:v>9.4</x:v>
      </x:c>
      <x:c r="M5" s="2">
        <x:v>6.9</x:v>
      </x:c>
      <x:c r="N5" s="2">
        <x:v>11</x:v>
      </x:c>
      <x:c r="O5" s="2">
        <x:v>10.4</x:v>
      </x:c>
      <x:c r="P5" s="2">
        <x:v>9.6</x:v>
      </x:c>
      <x:c r="Q5" s="2">
        <x:v>12.5</x:v>
      </x:c>
      <x:c r="R5" s="2">
        <x:v>14.2</x:v>
      </x:c>
      <x:c r="S5" s="2">
        <x:v>8.8000000000000007</x:v>
      </x:c>
      <x:c r="T5" s="2">
        <x:v>13.5</x:v>
      </x:c>
      <x:c r="U5" s="2" t="n">
        <x:f t="shared" ref="U5:Z5" si="0">1.15*Q5</x:f>
        <x:v>14.374999999999998</x:v>
      </x:c>
      <x:c r="V5" s="2">
        <x:f t="shared" si="0"/>
        <x:v>16.329999999999998</x:v>
      </x:c>
      <x:c r="W5" s="2">
        <x:f t="shared" si="0"/>
        <x:v>10.119999999999999</x:v>
      </x:c>
      <x:c r="X5" s="2">
        <x:f t="shared" si="0"/>
        <x:v>15.524999999999999</x:v>
      </x:c>
      <x:c r="Y5" s="2">
        <x:f t="shared" si="0"/>
        <x:v>16.531249999999996</x:v>
      </x:c>
      <x:c r="Z5" s="2">
        <x:f t="shared" si="0"/>
        <x:v>18.779499999999995</x:v>
      </x:c>
    </x:row>
    <x:row r="8">
      <x:c r="B8" s="2" t="s">
        <x:v>34</x:v>
      </x:c>
      <x:c r="C8" s="2">
        <x:v>15514</x:v>
      </x:c>
      <x:c r="D8" s="2">
        <x:v>13670</x:v>
      </x:c>
      <x:c r="E8" s="2">
        <x:v>17785</x:v>
      </x:c>
      <x:c r="F8" s="7">
        <x:v>20241</x:v>
      </x:c>
      <x:c r="G8" s="2">
        <x:v>18878</x:v>
      </x:c>
      <x:c r="H8" s="2">
        <x:v>20419</x:v>
      </x:c>
      <x:c r="I8" s="2">
        <x:v>18582</x:v>
      </x:c>
      <x:c r="J8" s="7">
        <x:v>20630</x:v>
      </x:c>
      <x:c r="K8" s="2">
        <x:v>16460</x:v>
      </x:c>
      <x:c r="L8" s="2">
        <x:v>18530</x:v>
      </x:c>
      <x:c r="M8" s="2">
        <x:v>18831</x:v>
      </x:c>
      <x:c r="N8" s="7">
        <x:v>18659</x:v>
      </x:c>
      <x:c r="O8" s="2">
        <x:v>12925</x:v>
      </x:c>
      <x:c r="P8" s="2">
        <x:v>15787</x:v>
      </x:c>
      <x:c r="Q8" s="2">
        <x:v>20359</x:v>
      </x:c>
      <x:c r="R8" s="7">
        <x:v>16750</x:v>
      </x:c>
      <x:c r="S8" s="2">
        <x:v>15473</x:v>
      </x:c>
      <x:c r="T8" s="2">
        <x:v>20006</x:v>
      </x:c>
      <x:c r="U8" s="2" t="n">
        <x:f t="shared" ref="U8:Z8" si="1">U4*U41/1000000</x:f>
        <x:v>20359.000000000004</x:v>
      </x:c>
      <x:c r="V8" s="2">
        <x:f t="shared" si="1"/>
        <x:v>16750.000000000004</x:v>
      </x:c>
      <x:c r="W8" s="2">
        <x:f t="shared" si="1"/>
        <x:v>15472.999999999998</x:v>
      </x:c>
      <x:c r="X8" s="2">
        <x:f t="shared" si="1"/>
        <x:v>20006</x:v>
      </x:c>
      <x:c r="Y8" s="2">
        <x:f t="shared" si="1"/>
        <x:v>20359.000000000004</x:v>
      </x:c>
      <x:c r="Z8" s="2">
        <x:f t="shared" si="1"/>
        <x:v>16750.000000000004</x:v>
      </x:c>
      <x:c r="AB8" s="2" t="n">
        <x:f>SUM(C8:F8)</x:f>
        <x:v>67210</x:v>
      </x:c>
      <x:c r="AC8" s="2" t="n">
        <x:f>SUM(G8:J8)</x:f>
        <x:v>78509</x:v>
      </x:c>
      <x:c r="AD8" s="2" t="n">
        <x:f>SUM(K8:N8)</x:f>
        <x:v>72480</x:v>
      </x:c>
      <x:c r="AE8" s="2" t="n">
        <x:f>SUM(O8:R8)</x:f>
        <x:v>65821</x:v>
      </x:c>
      <x:c r="AF8" s="2" t="n">
        <x:f>SUM(S8:V8)</x:f>
        <x:v>72588</x:v>
      </x:c>
      <x:c r="AG8" s="2" t="n">
        <x:f>SUM(W8:Z8)</x:f>
        <x:v>72588</x:v>
      </x:c>
      <x:c r="AH8" s="2" t="n">
        <x:f>AG8*1.05</x:f>
        <x:v>76217.40000000001</x:v>
      </x:c>
      <x:c r="AI8" s="2" t="n">
        <x:f t="shared" ref="AI8:AK8" si="2">AH8*1.05</x:f>
        <x:v>80028.27000000002</x:v>
      </x:c>
      <x:c r="AJ8" s="2">
        <x:f t="shared" si="2"/>
        <x:v>84029.683500000028</x:v>
      </x:c>
      <x:c r="AK8" s="2">
        <x:f t="shared" si="2"/>
        <x:v>88231.167675000033</x:v>
      </x:c>
    </x:row>
    <x:row r="9">
      <x:c r="B9" s="2" t="s">
        <x:v>35</x:v>
      </x:c>
      <x:c r="C9" s="2">
        <x:v>668</x:v>
      </x:c>
      <x:c r="D9" s="2">
        <x:v>588</x:v>
      </x:c>
      <x:c r="E9" s="2">
        <x:v>621</x:v>
      </x:c>
      <x:c r="F9" s="7">
        <x:v>599</x:v>
      </x:c>
      <x:c r="G9" s="2">
        <x:v>564</x:v>
      </x:c>
      <x:c r="H9" s="2">
        <x:v>567</x:v>
      </x:c>
      <x:c r="I9" s="2">
        <x:v>489</x:v>
      </x:c>
      <x:c r="J9" s="7">
        <x:v>500</x:v>
      </x:c>
      <x:c r="K9" s="2">
        <x:v>476</x:v>
      </x:c>
      <x:c r="L9" s="2">
        <x:v>458</x:v>
      </x:c>
      <x:c r="M9" s="2">
        <x:v>446</x:v>
      </x:c>
      <x:c r="N9" s="7">
        <x:v>447</x:v>
      </x:c>
      <x:c r="O9" s="2">
        <x:v>447</x:v>
      </x:c>
      <x:c r="P9" s="2">
        <x:v>439</x:v>
      </x:c>
      <x:c r="Q9" s="2">
        <x:v>429</x:v>
      </x:c>
      <x:c r="R9" s="7">
        <x:v>397</x:v>
      </x:c>
      <x:c r="S9" s="2">
        <x:v>381</x:v>
      </x:c>
      <x:c r="T9" s="2">
        <x:v>364</x:v>
      </x:c>
      <x:c r="U9" s="2" t="n">
        <x:f>Q9</x:f>
        <x:v>429</x:v>
      </x:c>
      <x:c r="V9" s="2" t="n">
        <x:f t="shared" ref="V9:Z9" si="3">R9</x:f>
        <x:v>397</x:v>
      </x:c>
      <x:c r="W9" s="2">
        <x:f t="shared" si="3"/>
        <x:v>381</x:v>
      </x:c>
      <x:c r="X9" s="2">
        <x:f t="shared" si="3"/>
        <x:v>364</x:v>
      </x:c>
      <x:c r="Y9" s="2">
        <x:f t="shared" si="3"/>
        <x:v>429</x:v>
      </x:c>
      <x:c r="Z9" s="2">
        <x:f t="shared" si="3"/>
        <x:v>397</x:v>
      </x:c>
      <x:c r="AB9" s="2" t="n">
        <x:f>SUM(C9:F9)</x:f>
        <x:v>2476</x:v>
      </x:c>
      <x:c r="AC9" s="2" t="n">
        <x:f>SUM(G9:J9)</x:f>
        <x:v>2120</x:v>
      </x:c>
      <x:c r="AD9" s="2" t="n">
        <x:f t="shared" ref="AD9:AD31" si="4">SUM(K9:N9)</x:f>
        <x:v>1827</x:v>
      </x:c>
      <x:c r="AE9" s="2" t="n">
        <x:f t="shared" ref="AE9:AE31" si="5">SUM(O9:R9)</x:f>
        <x:v>1712</x:v>
      </x:c>
      <x:c r="AF9" s="2" t="n">
        <x:f t="shared" ref="AF9:AF32" si="6">SUM(S9:V9)</x:f>
        <x:v>1571</x:v>
      </x:c>
      <x:c r="AG9" s="2" t="n">
        <x:f>SUM(W9:Z9)</x:f>
        <x:v>1571</x:v>
      </x:c>
      <x:c r="AH9" s="2" t="n">
        <x:f>AG9*1.05</x:f>
        <x:v>1649.5500000000002</x:v>
      </x:c>
      <x:c r="AI9" s="2" t="n">
        <x:f t="shared" ref="AI9:AK9" si="7">AH9*1.05</x:f>
        <x:v>1732.0275000000004</x:v>
      </x:c>
      <x:c r="AJ9" s="2">
        <x:f t="shared" si="7"/>
        <x:v>1818.6288750000006</x:v>
      </x:c>
      <x:c r="AK9" s="2">
        <x:f t="shared" si="7"/>
        <x:v>1909.5603187500008</x:v>
      </x:c>
    </x:row>
    <x:row r="10">
      <x:c r="B10" s="2" t="s">
        <x:v>36</x:v>
      </x:c>
      <x:c r="C10" s="2">
        <x:v>679</x:v>
      </x:c>
      <x:c r="D10" s="2">
        <x:v>344</x:v>
      </x:c>
      <x:c r="E10" s="2">
        <x:v>286</x:v>
      </x:c>
      <x:c r="F10" s="7">
        <x:v>467</x:v>
      </x:c>
      <x:c r="G10" s="2">
        <x:v>521</x:v>
      </x:c>
      <x:c r="H10" s="2">
        <x:v>282</x:v>
      </x:c>
      <x:c r="I10" s="2">
        <x:v>554</x:v>
      </x:c>
      <x:c r="J10" s="7">
        <x:v>433</x:v>
      </x:c>
      <x:c r="K10" s="2">
        <x:v>442</x:v>
      </x:c>
      <x:c r="L10" s="2">
        <x:v>890</x:v>
      </x:c>
      <x:c r="M10" s="2">
        <x:v>739</x:v>
      </x:c>
      <x:c r="N10" s="7">
        <x:v>692</x:v>
      </x:c>
      <x:c r="O10" s="2">
        <x:v>595</x:v>
      </x:c>
      <x:c r="P10" s="2">
        <x:v>435</x:v>
      </x:c>
      <x:c r="Q10" s="2">
        <x:v>417</x:v>
      </x:c>
      <x:c r="R10" s="7">
        <x:v>546</x:v>
      </x:c>
      <x:c r="S10" s="2">
        <x:v>380</x:v>
      </x:c>
      <x:c r="T10" s="2">
        <x:v>146</x:v>
      </x:c>
      <x:c r="U10" s="2" t="n">
        <x:f>AVERAGE(Q10:T10)</x:f>
        <x:v>372.25</x:v>
      </x:c>
      <x:c r="V10" s="2" t="n">
        <x:f>U10</x:f>
        <x:v>372.25</x:v>
      </x:c>
      <x:c r="W10" s="2" t="n">
        <x:f t="shared" ref="W10:Z10" si="8">V10</x:f>
        <x:v>372.25</x:v>
      </x:c>
      <x:c r="X10" s="2">
        <x:f t="shared" si="8"/>
        <x:v>372.25</x:v>
      </x:c>
      <x:c r="Y10" s="2">
        <x:f t="shared" si="8"/>
        <x:v>372.25</x:v>
      </x:c>
      <x:c r="Z10" s="2">
        <x:f t="shared" si="8"/>
        <x:v>372.25</x:v>
      </x:c>
      <x:c r="AB10" s="2" t="n">
        <x:f t="shared" ref="AB10:AB32" si="9">SUM(C10:F10)</x:f>
        <x:v>1776</x:v>
      </x:c>
      <x:c r="AC10" s="2" t="n">
        <x:f>SUM(G10:J10)</x:f>
        <x:v>1790</x:v>
      </x:c>
      <x:c r="AD10" s="2">
        <x:f t="shared" si="4"/>
        <x:v>2763</x:v>
      </x:c>
      <x:c r="AE10" s="2">
        <x:f t="shared" si="5"/>
        <x:v>1993</x:v>
      </x:c>
      <x:c r="AF10" s="2">
        <x:f t="shared" si="6"/>
        <x:v>1270.5</x:v>
      </x:c>
      <x:c r="AG10" s="2" t="n">
        <x:f t="shared" ref="AG10:AG32" si="10">SUM(W10:Z10)</x:f>
        <x:v>1489</x:v>
      </x:c>
      <x:c r="AH10" s="2" t="n">
        <x:f>AG10</x:f>
        <x:v>1489</x:v>
      </x:c>
      <x:c r="AI10" s="2" t="n">
        <x:f>AH10</x:f>
        <x:v>1489</x:v>
      </x:c>
      <x:c r="AJ10" s="2" t="n">
        <x:f>AI10</x:f>
        <x:v>1489</x:v>
      </x:c>
      <x:c r="AK10" s="2" t="n">
        <x:f>AJ10</x:f>
        <x:v>1489</x:v>
      </x:c>
    </x:row>
    <x:row r="11">
      <x:c r="B11" s="2" t="s">
        <x:v>37</x:v>
      </x:c>
      <x:c r="C11" s="2">
        <x:v>616</x:v>
      </x:c>
      <x:c r="D11" s="2">
        <x:v>866</x:v>
      </x:c>
      <x:c r="E11" s="2">
        <x:v>1117</x:v>
      </x:c>
      <x:c r="F11" s="7">
        <x:v>1310</x:v>
      </x:c>
      <x:c r="G11" s="2">
        <x:v>1529</x:v>
      </x:c>
      <x:c r="H11" s="2">
        <x:v>1509</x:v>
      </x:c>
      <x:c r="I11" s="2">
        <x:v>1559</x:v>
      </x:c>
      <x:c r="J11" s="7">
        <x:v>1438</x:v>
      </x:c>
      <x:c r="K11" s="2">
        <x:v>1635</x:v>
      </x:c>
      <x:c r="L11" s="2">
        <x:v>3014</x:v>
      </x:c>
      <x:c r="M11" s="2">
        <x:v>2376</x:v>
      </x:c>
      <x:c r="N11" s="7">
        <x:v>3061</x:v>
      </x:c>
      <x:c r="O11" s="2">
        <x:v>2730</x:v>
      </x:c>
      <x:c r="P11" s="2">
        <x:v>2789</x:v>
      </x:c>
      <x:c r="Q11" s="2">
        <x:v>3415</x:v>
      </x:c>
      <x:c r="R11" s="7">
        <x:v>3837</x:v>
      </x:c>
      <x:c r="S11" s="2">
        <x:v>2408</x:v>
      </x:c>
      <x:c r="T11" s="2">
        <x:v>3139</x:v>
      </x:c>
      <x:c r="U11" s="2" t="n">
        <x:f>U5*U42/1000000</x:f>
        <x:v>3927.2499999999995</x:v>
      </x:c>
      <x:c r="V11" s="2" t="n">
        <x:f t="shared" ref="V11:Z11" si="11">V5*V42/1000000</x:f>
        <x:v>4412.549999999999</x:v>
      </x:c>
      <x:c r="W11" s="2">
        <x:f t="shared" si="11"/>
        <x:v>2769.1999999999994</x:v>
      </x:c>
      <x:c r="X11" s="2">
        <x:f t="shared" si="11"/>
        <x:v>3609.8499999999995</x:v>
      </x:c>
      <x:c r="Y11" s="2">
        <x:f t="shared" si="11"/>
        <x:v>4516.3374999999987</x:v>
      </x:c>
      <x:c r="Z11" s="2">
        <x:f t="shared" si="11"/>
        <x:v>5074.4324999999981</x:v>
      </x:c>
      <x:c r="AB11" s="2">
        <x:f t="shared" si="9"/>
        <x:v>3909</x:v>
      </x:c>
      <x:c r="AC11" s="2" t="n">
        <x:f t="shared" ref="AC11:AC32" si="12">SUM(G11:J11)</x:f>
        <x:v>6035</x:v>
      </x:c>
      <x:c r="AD11" s="2">
        <x:f t="shared" si="4"/>
        <x:v>10086</x:v>
      </x:c>
      <x:c r="AE11" s="2">
        <x:f t="shared" si="5"/>
        <x:v>12771</x:v>
      </x:c>
      <x:c r="AF11" s="2">
        <x:f t="shared" si="6"/>
        <x:v>13886.8</x:v>
      </x:c>
      <x:c r="AG11" s="2" t="n">
        <x:f>SUM(W11:Z11)</x:f>
        <x:v>15969.819999999996</x:v>
      </x:c>
      <x:c r="AH11" s="2" t="n">
        <x:f>AG11*1.1</x:f>
        <x:v>17566.801999999996</x:v>
      </x:c>
      <x:c r="AI11" s="2" t="n">
        <x:f t="shared" ref="AI11:AK11" si="13">AH11*1.1</x:f>
        <x:v>19323.4822</x:v>
      </x:c>
      <x:c r="AJ11" s="2">
        <x:f t="shared" si="13"/>
        <x:v>21255.830419999998</x:v>
      </x:c>
      <x:c r="AK11" s="2">
        <x:f t="shared" si="13"/>
        <x:v>23381.413462</x:v>
      </x:c>
    </x:row>
    <x:row r="12">
      <x:c r="B12" s="2" t="s">
        <x:v>38</x:v>
      </x:c>
      <x:c r="C12" s="2">
        <x:v>1279</x:v>
      </x:c>
      <x:c r="D12" s="2">
        <x:v>1466</x:v>
      </x:c>
      <x:c r="E12" s="2">
        <x:v>1645</x:v>
      </x:c>
      <x:c r="F12" s="7">
        <x:v>1701</x:v>
      </x:c>
      <x:c r="G12" s="2">
        <x:v>1837</x:v>
      </x:c>
      <x:c r="H12" s="2">
        <x:v>2150</x:v>
      </x:c>
      <x:c r="I12" s="2">
        <x:v>2166</x:v>
      </x:c>
      <x:c r="J12" s="7">
        <x:v>2166</x:v>
      </x:c>
      <x:c r="K12" s="2">
        <x:v>2288</x:v>
      </x:c>
      <x:c r="L12" s="2">
        <x:v>2608</x:v>
      </x:c>
      <x:c r="M12" s="2">
        <x:v>2790</x:v>
      </x:c>
      <x:c r="N12" s="7">
        <x:v>2848</x:v>
      </x:c>
      <x:c r="O12" s="2">
        <x:v>2638</x:v>
      </x:c>
      <x:c r="P12" s="2">
        <x:v>3046</x:v>
      </x:c>
      <x:c r="Q12" s="2">
        <x:v>3475</x:v>
      </x:c>
      <x:c r="R12" s="7">
        <x:v>3371</x:v>
      </x:c>
      <x:c r="S12" s="2">
        <x:v>3745</x:v>
      </x:c>
      <x:c r="T12" s="2">
        <x:v>4581</x:v>
      </x:c>
      <x:c r="U12" s="2" t="n">
        <x:f>Q12*1.15</x:f>
        <x:v>3996.2499999999995</x:v>
      </x:c>
      <x:c r="V12" s="2" t="n">
        <x:f t="shared" ref="V12:Z12" si="14">R12*1.15</x:f>
        <x:v>3876.6499999999996</x:v>
      </x:c>
      <x:c r="W12" s="2">
        <x:f t="shared" si="14"/>
        <x:v>4306.75</x:v>
      </x:c>
      <x:c r="X12" s="2">
        <x:f t="shared" si="14"/>
        <x:v>5268.15</x:v>
      </x:c>
      <x:c r="Y12" s="2">
        <x:f t="shared" si="14"/>
        <x:v>4595.6874999999991</x:v>
      </x:c>
      <x:c r="Z12" s="2">
        <x:f t="shared" si="14"/>
        <x:v>4458.1474999999991</x:v>
      </x:c>
      <x:c r="AB12" s="2">
        <x:f t="shared" si="9"/>
        <x:v>6091</x:v>
      </x:c>
      <x:c r="AC12" s="2">
        <x:f t="shared" si="12"/>
        <x:v>8319</x:v>
      </x:c>
      <x:c r="AD12" s="2">
        <x:f t="shared" si="4"/>
        <x:v>10534</x:v>
      </x:c>
      <x:c r="AE12" s="2" t="n">
        <x:f>SUM(O12:R12)</x:f>
        <x:v>12530</x:v>
      </x:c>
      <x:c r="AF12" s="2">
        <x:f t="shared" si="6"/>
        <x:v>16198.9</x:v>
      </x:c>
      <x:c r="AG12" s="2" t="n">
        <x:f>SUM(W12:Z12)</x:f>
        <x:v>18628.734999999997</x:v>
      </x:c>
      <x:c r="AH12" s="2" t="n">
        <x:f>AG12*1.15</x:f>
        <x:v>21423.045249999996</x:v>
      </x:c>
      <x:c r="AI12" s="2" t="n">
        <x:f t="shared" ref="AI12:AK12" si="15">AH12*1.15</x:f>
        <x:v>24636.50203749999</x:v>
      </x:c>
      <x:c r="AJ12" s="2">
        <x:f t="shared" si="15"/>
        <x:v>28331.977343124989</x:v>
      </x:c>
      <x:c r="AK12" s="2">
        <x:f t="shared" si="15"/>
        <x:v>32581.773944593733</x:v>
      </x:c>
    </x:row>
    <x:row r="13">
      <x:c r="B13" s="8" t="s">
        <x:v>39</x:v>
      </x:c>
      <x:c r="C13" s="2" t="n">
        <x:f t="shared" ref="C13:T13" si="16">C12+C11+C8+C10+C9</x:f>
        <x:v>18756</x:v>
      </x:c>
      <x:c r="D13" s="2">
        <x:f t="shared" si="16"/>
        <x:v>16934</x:v>
      </x:c>
      <x:c r="E13" s="2">
        <x:f t="shared" si="16"/>
        <x:v>21454</x:v>
      </x:c>
      <x:c r="F13" s="2">
        <x:f t="shared" si="16"/>
        <x:v>24318</x:v>
      </x:c>
      <x:c r="G13" s="2">
        <x:f t="shared" si="16"/>
        <x:v>23329</x:v>
      </x:c>
      <x:c r="H13" s="2">
        <x:f t="shared" si="16"/>
        <x:v>24927</x:v>
      </x:c>
      <x:c r="I13" s="2">
        <x:f t="shared" si="16"/>
        <x:v>23350</x:v>
      </x:c>
      <x:c r="J13" s="2">
        <x:f t="shared" si="16"/>
        <x:v>25167</x:v>
      </x:c>
      <x:c r="K13" s="2">
        <x:f t="shared" si="16"/>
        <x:v>21301</x:v>
      </x:c>
      <x:c r="L13" s="2">
        <x:f t="shared" si="16"/>
        <x:v>25500</x:v>
      </x:c>
      <x:c r="M13" s="2">
        <x:f t="shared" si="16"/>
        <x:v>25182</x:v>
      </x:c>
      <x:c r="N13" s="2">
        <x:f t="shared" si="16"/>
        <x:v>25707</x:v>
      </x:c>
      <x:c r="O13" s="2">
        <x:f t="shared" si="16"/>
        <x:v>19335</x:v>
      </x:c>
      <x:c r="P13" s="2">
        <x:f t="shared" si="16"/>
        <x:v>22496</x:v>
      </x:c>
      <x:c r="Q13" s="2">
        <x:f t="shared" si="16"/>
        <x:v>28095</x:v>
      </x:c>
      <x:c r="R13" s="2">
        <x:f t="shared" si="16"/>
        <x:v>24901</x:v>
      </x:c>
      <x:c r="S13" s="2">
        <x:f t="shared" si="16"/>
        <x:v>22387</x:v>
      </x:c>
      <x:c r="T13" s="2">
        <x:f t="shared" si="16"/>
        <x:v>28236</x:v>
      </x:c>
      <x:c r="U13" s="2" t="n">
        <x:f>SUM(U8:U12)</x:f>
        <x:v>29083.750000000004</x:v>
      </x:c>
      <x:c r="V13" s="2" t="n">
        <x:f t="shared" ref="V13:Z13" si="17">SUM(V8:V12)</x:f>
        <x:v>25808.450000000004</x:v>
      </x:c>
      <x:c r="W13" s="2">
        <x:f t="shared" si="17"/>
        <x:v>23302.199999999997</x:v>
      </x:c>
      <x:c r="X13" s="2">
        <x:f t="shared" si="17"/>
        <x:v>29620.25</x:v>
      </x:c>
      <x:c r="Y13" s="2">
        <x:f t="shared" si="17"/>
        <x:v>30272.275000000001</x:v>
      </x:c>
      <x:c r="Z13" s="2">
        <x:f t="shared" si="17"/>
        <x:v>27051.83</x:v>
      </x:c>
      <x:c r="AB13" s="2">
        <x:f t="shared" si="9"/>
        <x:v>81462</x:v>
      </x:c>
      <x:c r="AC13" s="2">
        <x:f t="shared" si="12"/>
        <x:v>96773</x:v>
      </x:c>
      <x:c r="AD13" s="2">
        <x:f t="shared" si="4"/>
        <x:v>97690</x:v>
      </x:c>
      <x:c r="AE13" s="2">
        <x:f t="shared" si="5"/>
        <x:v>94827</x:v>
      </x:c>
      <x:c r="AF13" s="2">
        <x:f t="shared" si="6"/>
        <x:v>105515.20000000001</x:v>
      </x:c>
      <x:c r="AG13" s="2">
        <x:f t="shared" si="10"/>
        <x:v>110246.55500000001</x:v>
      </x:c>
      <x:c r="AH13" s="2" t="n">
        <x:f t="shared" ref="AH13:AK23" si="18">SUM(X13:AA13)</x:f>
        <x:v>86944.35500000001</x:v>
      </x:c>
      <x:c r="AI13" s="2">
        <x:f t="shared" si="18"/>
        <x:v>138786.10500000001</x:v>
      </x:c>
      <x:c r="AJ13" s="2">
        <x:f t="shared" si="18"/>
        <x:v>205286.83000000002</x:v>
      </x:c>
      <x:c r="AK13" s="2">
        <x:f t="shared" si="18"/>
        <x:v>275925</x:v>
      </x:c>
    </x:row>
    <x:row r="14">
      <x:c r="B14" s="2" t="s">
        <x:v>40</x:v>
      </x:c>
      <x:c r="C14" s="2">
        <x:v>10914</x:v>
      </x:c>
      <x:c r="D14" s="2">
        <x:v>10153</x:v>
      </x:c>
      <x:c r="E14" s="2">
        <x:v>13099</x:v>
      </x:c>
      <x:c r="F14" s="7">
        <x:v>15433</x:v>
      </x:c>
      <x:c r="G14" s="2">
        <x:v>15422</x:v>
      </x:c>
      <x:c r="H14" s="2">
        <x:v>16841</x:v>
      </x:c>
      <x:c r="I14" s="2">
        <x:v>15656</x:v>
      </x:c>
      <x:c r="J14" s="7">
        <x:v>17202</x:v>
      </x:c>
      <x:c r="K14" s="2">
        <x:v>13897</x:v>
      </x:c>
      <x:c r="L14" s="2">
        <x:v>15962</x:v>
      </x:c>
      <x:c r="M14" s="2">
        <x:v>15743</x:v>
      </x:c>
      <x:c r="N14" s="7">
        <x:v>16268</x:v>
      </x:c>
      <x:c r="O14" s="2">
        <x:v>11461</x:v>
      </x:c>
      <x:c r="P14" s="2">
        <x:v>13567</x:v>
      </x:c>
      <x:c r="Q14" s="2">
        <x:v>17365</x:v>
      </x:c>
      <x:c r="R14" s="7">
        <x:v>13874</x:v>
      </x:c>
      <x:c r="S14" s="2">
        <x:v>12616</x:v>
      </x:c>
      <x:c r="T14" s="2">
        <x:v>16866</x:v>
      </x:c>
      <x:c r="U14" s="2" t="n">
        <x:f>U8*(1-U44)</x:f>
        <x:v>16997.938320224453</x:v>
      </x:c>
      <x:c r="V14" s="2" t="n">
        <x:f t="shared" ref="V14:Z14" si="19">V8*(1-V44)</x:f>
        <x:v>13984.747132165608</x:v>
      </x:c>
      <x:c r="W14" s="2">
        <x:f t="shared" si="19"/>
        <x:v>12918.566709014829</x:v>
      </x:c>
      <x:c r="X14" s="2">
        <x:f t="shared" si="19"/>
        <x:v>16703.214992603291</x:v>
      </x:c>
      <x:c r="Y14" s="2">
        <x:f t="shared" si="19"/>
        <x:v>16997.938320224453</x:v>
      </x:c>
      <x:c r="Z14" s="2">
        <x:f t="shared" si="19"/>
        <x:v>13984.747132165608</x:v>
      </x:c>
      <x:c r="AB14" s="2">
        <x:f t="shared" si="9"/>
        <x:v>49599</x:v>
      </x:c>
      <x:c r="AC14" s="2">
        <x:f t="shared" si="12"/>
        <x:v>65121</x:v>
      </x:c>
      <x:c r="AD14" s="2">
        <x:f t="shared" si="4"/>
        <x:v>61870</x:v>
      </x:c>
      <x:c r="AE14" s="2">
        <x:f t="shared" si="5"/>
        <x:v>56267</x:v>
      </x:c>
      <x:c r="AF14" s="2">
        <x:f t="shared" si="6"/>
        <x:v>60464.685452390055</x:v>
      </x:c>
      <x:c r="AG14" s="2">
        <x:f t="shared" si="10"/>
        <x:v>60604.467154008176</x:v>
      </x:c>
      <x:c r="AH14" s="2">
        <x:f t="shared" si="18"/>
        <x:v>47685.900444993356</x:v>
      </x:c>
      <x:c r="AI14" s="2">
        <x:f t="shared" si="18"/>
        <x:v>80581.685452390055</x:v>
      </x:c>
      <x:c r="AJ14" s="2">
        <x:f t="shared" si="18"/>
        <x:v>128704.7471321656</x:v>
      </x:c>
      <x:c r="AK14" s="2">
        <x:f t="shared" si="18"/>
        <x:v>176590</x:v>
      </x:c>
    </x:row>
    <x:row r="15">
      <x:c r="B15" s="2" t="s">
        <x:v>41</x:v>
      </x:c>
      <x:c r="C15" s="2">
        <x:v>408</x:v>
      </x:c>
      <x:c r="D15" s="2">
        <x:v>368</x:v>
      </x:c>
      <x:c r="E15" s="2">
        <x:v>381</x:v>
      </x:c>
      <x:c r="F15" s="7">
        <x:v>352</x:v>
      </x:c>
      <x:c r="G15" s="2">
        <x:v>333</x:v>
      </x:c>
      <x:c r="H15" s="2">
        <x:v>338</x:v>
      </x:c>
      <x:c r="I15" s="2">
        <x:v>301</x:v>
      </x:c>
      <x:c r="J15" s="7">
        <x:v>296</x:v>
      </x:c>
      <x:c r="K15" s="2">
        <x:v>269</x:v>
      </x:c>
      <x:c r="L15" s="2">
        <x:v>245</x:v>
      </x:c>
      <x:c r="M15" s="2">
        <x:v>247</x:v>
      </x:c>
      <x:c r="N15" s="7">
        <x:v>242</x:v>
      </x:c>
      <x:c r="O15" s="2">
        <x:v>239</x:v>
      </x:c>
      <x:c r="P15" s="2">
        <x:v>228</x:v>
      </x:c>
      <x:c r="Q15" s="2">
        <x:v>225</x:v>
      </x:c>
      <x:c r="R15" s="7">
        <x:v>206</x:v>
      </x:c>
      <x:c r="S15" s="2">
        <x:v>196</x:v>
      </x:c>
      <x:c r="T15" s="2">
        <x:v>187</x:v>
      </x:c>
      <x:c r="U15" s="2" t="n">
        <x:f>U9*(1-U45)</x:f>
        <x:v>222.1725761334304</x:v>
      </x:c>
      <x:c r="V15" s="2" t="n">
        <x:f t="shared" ref="V15:Z15" si="20">V9*(1-V45)</x:f>
        <x:v>205.60026276217218</x:v>
      </x:c>
      <x:c r="W15" s="2">
        <x:f t="shared" si="20"/>
        <x:v>197.31410607654308</x:v>
      </x:c>
      <x:c r="X15" s="2" t="n">
        <x:f>X9*(1-X45)</x:f>
        <x:v>188.51006459806214</x:v>
      </x:c>
      <x:c r="Y15" s="2">
        <x:f t="shared" si="20"/>
        <x:v>222.1725761334304</x:v>
      </x:c>
      <x:c r="Z15" s="2">
        <x:f t="shared" si="20"/>
        <x:v>205.60026276217218</x:v>
      </x:c>
      <x:c r="AB15" s="2">
        <x:f t="shared" si="9"/>
        <x:v>1509</x:v>
      </x:c>
      <x:c r="AC15" s="2">
        <x:f t="shared" si="12"/>
        <x:v>1268</x:v>
      </x:c>
      <x:c r="AD15" s="2">
        <x:f t="shared" si="4"/>
        <x:v>1003</x:v>
      </x:c>
      <x:c r="AE15" s="2">
        <x:f t="shared" si="5"/>
        <x:v>898</x:v>
      </x:c>
      <x:c r="AF15" s="2">
        <x:f t="shared" si="6"/>
        <x:v>810.7728388956026</x:v>
      </x:c>
      <x:c r="AG15" s="2">
        <x:f t="shared" si="10"/>
        <x:v>813.59700957020777</x:v>
      </x:c>
      <x:c r="AH15" s="2">
        <x:f t="shared" si="18"/>
        <x:v>616.28290349366466</x:v>
      </x:c>
      <x:c r="AI15" s="2">
        <x:f t="shared" si="18"/>
        <x:v>1936.7728388956025</x:v>
      </x:c>
      <x:c r="AJ15" s="2" t="n">
        <x:f>SUM(Z15:AC15)</x:f>
        <x:v>2982.600262762172</x:v>
      </x:c>
      <x:c r="AK15" s="2">
        <x:f t="shared" si="18"/>
        <x:v>3780</x:v>
      </x:c>
    </x:row>
    <x:row r="16">
      <x:c r="B16" s="2" t="s">
        <x:v>42</x:v>
      </x:c>
      <x:c r="C16" s="2">
        <x:v>688</x:v>
      </x:c>
      <x:c r="D16" s="2">
        <x:v>769</x:v>
      </x:c>
      <x:c r="E16" s="2">
        <x:v>1013</x:v>
      </x:c>
      <x:c r="F16" s="7">
        <x:v>1151</x:v>
      </x:c>
      <x:c r="G16" s="2">
        <x:v>1361</x:v>
      </x:c>
      <x:c r="H16" s="2">
        <x:v>1231</x:v>
      </x:c>
      <x:c r="I16" s="2">
        <x:v>1178</x:v>
      </x:c>
      <x:c r="J16" s="7">
        <x:v>1124</x:v>
      </x:c>
      <x:c r="K16" s="2">
        <x:v>1232</x:v>
      </x:c>
      <x:c r="L16" s="2">
        <x:v>2274</x:v>
      </x:c>
      <x:c r="M16" s="2">
        <x:v>1651</x:v>
      </x:c>
      <x:c r="N16" s="7">
        <x:v>2289</x:v>
      </x:c>
      <x:c r="O16" s="2">
        <x:v>1945</x:v>
      </x:c>
      <x:c r="P16" s="2">
        <x:v>1943</x:v>
      </x:c>
      <x:c r="Q16" s="2">
        <x:v>2342</x:v>
      </x:c>
      <x:c r="R16" s="7">
        <x:v>2739</x:v>
      </x:c>
      <x:c r="S16" s="2">
        <x:v>1456</x:v>
      </x:c>
      <x:c r="T16" s="2">
        <x:v>2499</x:v>
      </x:c>
      <x:c r="U16" s="2" t="n">
        <x:f>U11*(1-U46)</x:f>
        <x:v>2749.4691600114675</x:v>
      </x:c>
      <x:c r="V16" s="2" t="n">
        <x:f t="shared" ref="V16:Z16" si="21">V11*(1-V46)</x:f>
        <x:v>3089.2278673393853</x:v>
      </x:c>
      <x:c r="W16" s="2">
        <x:f t="shared" si="21"/>
        <x:v>1938.7179318616729</x:v>
      </x:c>
      <x:c r="X16" s="2">
        <x:f t="shared" si="21"/>
        <x:v>2527.2573040339666</x:v>
      </x:c>
      <x:c r="Y16" s="2">
        <x:f t="shared" si="21"/>
        <x:v>3161.8895340131871</x:v>
      </x:c>
      <x:c r="Z16" s="2">
        <x:f t="shared" si="21"/>
        <x:v>3552.6120474402919</x:v>
      </x:c>
      <x:c r="AB16" s="2">
        <x:f t="shared" si="9"/>
        <x:v>3621</x:v>
      </x:c>
      <x:c r="AC16" s="2">
        <x:f t="shared" si="12"/>
        <x:v>4894</x:v>
      </x:c>
      <x:c r="AD16" s="2">
        <x:f t="shared" si="4"/>
        <x:v>7446</x:v>
      </x:c>
      <x:c r="AE16" s="2">
        <x:f t="shared" si="5"/>
        <x:v>8969</x:v>
      </x:c>
      <x:c r="AF16" s="2">
        <x:f t="shared" si="6"/>
        <x:v>9793.6970273508523</x:v>
      </x:c>
      <x:c r="AG16" s="2">
        <x:f t="shared" si="10"/>
        <x:v>11180.476817349119</x:v>
      </x:c>
      <x:c r="AH16" s="2">
        <x:f t="shared" si="18"/>
        <x:v>9241.7588854874466</x:v>
      </x:c>
      <x:c r="AI16" s="2">
        <x:f t="shared" si="18"/>
        <x:v>10335.501581453478</x:v>
      </x:c>
      <x:c r="AJ16" s="2">
        <x:f t="shared" si="18"/>
        <x:v>12067.612047440292</x:v>
      </x:c>
      <x:c r="AK16" s="2">
        <x:f t="shared" si="18"/>
        <x:v>15961</x:v>
      </x:c>
    </x:row>
    <x:row r="17">
      <x:c r="B17" s="2" t="s">
        <x:v>43</x:v>
      </x:c>
      <x:c r="C17" s="2">
        <x:v>1286</x:v>
      </x:c>
      <x:c r="D17" s="2">
        <x:v>1410</x:v>
      </x:c>
      <x:c r="E17" s="2">
        <x:v>1579</x:v>
      </x:c>
      <x:c r="F17" s="7">
        <x:v>1605</x:v>
      </x:c>
      <x:c r="G17" s="2">
        <x:v>1702</x:v>
      </x:c>
      <x:c r="H17" s="2">
        <x:v>1984</x:v>
      </x:c>
      <x:c r="I17" s="2">
        <x:v>2037</x:v>
      </x:c>
      <x:c r="J17" s="7">
        <x:v>2107</x:v>
      </x:c>
      <x:c r="K17" s="2">
        <x:v>2207</x:v>
      </x:c>
      <x:c r="L17" s="2">
        <x:v>2441</x:v>
      </x:c>
      <x:c r="M17" s="2">
        <x:v>2544</x:v>
      </x:c>
      <x:c r="N17" s="7">
        <x:v>2729</x:v>
      </x:c>
      <x:c r="O17" s="2">
        <x:v>2537</x:v>
      </x:c>
      <x:c r="P17" s="2">
        <x:v>2880</x:v>
      </x:c>
      <x:c r="Q17" s="2">
        <x:v>3109</x:v>
      </x:c>
      <x:c r="R17" s="7">
        <x:v>3073</x:v>
      </x:c>
      <x:c r="S17" s="2">
        <x:v>3399</x:v>
      </x:c>
      <x:c r="T17" s="2">
        <x:v>3933</x:v>
      </x:c>
      <x:c r="U17" s="2" t="n">
        <x:f>U12*(1-U47)</x:f>
        <x:v>3355.4985285159487</x:v>
      </x:c>
      <x:c r="V17" s="2" t="n">
        <x:f>V12*(1-V47)</x:f>
        <x:v>3408.9487142901653</x:v>
      </x:c>
      <x:c r="W17" s="2" t="n">
        <x:f t="shared" ref="W17:Z17" si="22">W12*(1-W47)</x:f>
        <x:v>3752.4415548118764</x:v>
      </x:c>
      <x:c r="X17" s="2">
        <x:f t="shared" si="22"/>
        <x:v>4542.2718266332467</x:v>
      </x:c>
      <x:c r="Y17" s="2">
        <x:f t="shared" si="22"/>
        <x:v>3966.6792184247734</x:v>
      </x:c>
      <x:c r="Z17" s="2">
        <x:f t="shared" si="22"/>
        <x:v>3874.1212126603023</x:v>
      </x:c>
      <x:c r="AB17" s="2">
        <x:f t="shared" si="9"/>
        <x:v>5880</x:v>
      </x:c>
      <x:c r="AC17" s="2">
        <x:f t="shared" si="12"/>
        <x:v>7830</x:v>
      </x:c>
      <x:c r="AD17" s="2">
        <x:f t="shared" si="4"/>
        <x:v>9921</x:v>
      </x:c>
      <x:c r="AE17" s="2">
        <x:f t="shared" si="5"/>
        <x:v>11599</x:v>
      </x:c>
      <x:c r="AF17" s="2">
        <x:f t="shared" si="6"/>
        <x:v>14096.447242806114</x:v>
      </x:c>
      <x:c r="AG17" s="2">
        <x:f t="shared" si="10"/>
        <x:v>16135.513812530198</x:v>
      </x:c>
      <x:c r="AH17" s="2">
        <x:f t="shared" si="18"/>
        <x:v>12383.072257718322</x:v>
      </x:c>
      <x:c r="AI17" s="2">
        <x:f t="shared" si="18"/>
        <x:v>13720.800431085076</x:v>
      </x:c>
      <x:c r="AJ17" s="2">
        <x:f t="shared" si="18"/>
        <x:v>17584.121212660302</x:v>
      </x:c>
      <x:c r="AK17" s="2">
        <x:f t="shared" si="18"/>
        <x:v>23631</x:v>
      </x:c>
    </x:row>
    <x:row r="18">
      <x:c r="B18" s="8" t="s">
        <x:v>44</x:v>
      </x:c>
      <x:c r="C18" s="2" t="n">
        <x:f t="shared" ref="C18:T18" si="23">C17+C16+C14+C15</x:f>
        <x:v>13296</x:v>
      </x:c>
      <x:c r="D18" s="2">
        <x:f t="shared" si="23"/>
        <x:v>12700</x:v>
      </x:c>
      <x:c r="E18" s="2">
        <x:f t="shared" si="23"/>
        <x:v>16072</x:v>
      </x:c>
      <x:c r="F18" s="2">
        <x:f t="shared" si="23"/>
        <x:v>18541</x:v>
      </x:c>
      <x:c r="G18" s="2">
        <x:f t="shared" si="23"/>
        <x:v>18818</x:v>
      </x:c>
      <x:c r="H18" s="2">
        <x:f t="shared" si="23"/>
        <x:v>20394</x:v>
      </x:c>
      <x:c r="I18" s="2">
        <x:f t="shared" si="23"/>
        <x:v>19172</x:v>
      </x:c>
      <x:c r="J18" s="2">
        <x:f t="shared" si="23"/>
        <x:v>20729</x:v>
      </x:c>
      <x:c r="K18" s="2">
        <x:f t="shared" si="23"/>
        <x:v>17605</x:v>
      </x:c>
      <x:c r="L18" s="2">
        <x:f t="shared" si="23"/>
        <x:v>20922</x:v>
      </x:c>
      <x:c r="M18" s="2">
        <x:f t="shared" si="23"/>
        <x:v>20185</x:v>
      </x:c>
      <x:c r="N18" s="2">
        <x:f t="shared" si="23"/>
        <x:v>21528</x:v>
      </x:c>
      <x:c r="O18" s="2">
        <x:f t="shared" si="23"/>
        <x:v>16182</x:v>
      </x:c>
      <x:c r="P18" s="2">
        <x:f t="shared" si="23"/>
        <x:v>18618</x:v>
      </x:c>
      <x:c r="Q18" s="2">
        <x:f t="shared" si="23"/>
        <x:v>23041</x:v>
      </x:c>
      <x:c r="R18" s="2">
        <x:f t="shared" si="23"/>
        <x:v>19892</x:v>
      </x:c>
      <x:c r="S18" s="2">
        <x:f t="shared" si="23"/>
        <x:v>17667</x:v>
      </x:c>
      <x:c r="T18" s="2">
        <x:f t="shared" si="23"/>
        <x:v>23485</x:v>
      </x:c>
      <x:c r="U18" s="2" t="n">
        <x:f>SUM(U14:U17)</x:f>
        <x:v>23325.0785848853</x:v>
      </x:c>
      <x:c r="V18" s="2" t="n">
        <x:f t="shared" ref="V18:Z18" si="24">SUM(V14:V17)</x:f>
        <x:v>20688.523976557335</x:v>
      </x:c>
      <x:c r="W18" s="2">
        <x:f t="shared" si="24"/>
        <x:v>18807.040301764922</x:v>
      </x:c>
      <x:c r="X18" s="2">
        <x:f t="shared" si="24"/>
        <x:v>23961.254187868566</x:v>
      </x:c>
      <x:c r="Y18" s="2">
        <x:f t="shared" si="24"/>
        <x:v>24348.679648795842</x:v>
      </x:c>
      <x:c r="Z18" s="2">
        <x:f t="shared" si="24"/>
        <x:v>21617.080655028374</x:v>
      </x:c>
      <x:c r="AB18" s="2">
        <x:f t="shared" si="9"/>
        <x:v>60609</x:v>
      </x:c>
      <x:c r="AC18" s="2">
        <x:f t="shared" si="12"/>
        <x:v>79113</x:v>
      </x:c>
      <x:c r="AD18" s="2">
        <x:f t="shared" si="4"/>
        <x:v>80240</x:v>
      </x:c>
      <x:c r="AE18" s="2">
        <x:f t="shared" si="5"/>
        <x:v>77733</x:v>
      </x:c>
      <x:c r="AF18" s="2">
        <x:f t="shared" si="6"/>
        <x:v>85165.602561442633</x:v>
      </x:c>
      <x:c r="AG18" s="2">
        <x:f t="shared" si="10"/>
        <x:v>88734.054793457704</x:v>
      </x:c>
      <x:c r="AH18" s="2">
        <x:f t="shared" si="18"/>
        <x:v>69927.014491692782</x:v>
      </x:c>
      <x:c r="AI18" s="2">
        <x:f t="shared" si="18"/>
        <x:v>106574.76030382421</x:v>
      </x:c>
      <x:c r="AJ18" s="2">
        <x:f t="shared" si="18"/>
        <x:v>161339.08065502837</x:v>
      </x:c>
      <x:c r="AK18" s="2">
        <x:f t="shared" si="18"/>
        <x:v>219962</x:v>
      </x:c>
    </x:row>
    <x:row r="19">
      <x:c r="B19" s="8" t="s">
        <x:v>45</x:v>
      </x:c>
      <x:c r="C19" s="2" t="n">
        <x:f t="shared" ref="C19:T19" si="25">C13-C18</x:f>
        <x:v>5460</x:v>
      </x:c>
      <x:c r="D19" s="2">
        <x:f t="shared" si="25"/>
        <x:v>4234</x:v>
      </x:c>
      <x:c r="E19" s="2">
        <x:f t="shared" si="25"/>
        <x:v>5382</x:v>
      </x:c>
      <x:c r="F19" s="2">
        <x:f t="shared" si="25"/>
        <x:v>5777</x:v>
      </x:c>
      <x:c r="G19" s="2">
        <x:f t="shared" si="25"/>
        <x:v>4511</x:v>
      </x:c>
      <x:c r="H19" s="2">
        <x:f t="shared" si="25"/>
        <x:v>4533</x:v>
      </x:c>
      <x:c r="I19" s="2">
        <x:f t="shared" si="25"/>
        <x:v>4178</x:v>
      </x:c>
      <x:c r="J19" s="2">
        <x:f t="shared" si="25"/>
        <x:v>4438</x:v>
      </x:c>
      <x:c r="K19" s="2">
        <x:f t="shared" si="25"/>
        <x:v>3696</x:v>
      </x:c>
      <x:c r="L19" s="2">
        <x:f t="shared" si="25"/>
        <x:v>4578</x:v>
      </x:c>
      <x:c r="M19" s="2">
        <x:f t="shared" si="25"/>
        <x:v>4997</x:v>
      </x:c>
      <x:c r="N19" s="2">
        <x:f t="shared" si="25"/>
        <x:v>4179</x:v>
      </x:c>
      <x:c r="O19" s="2">
        <x:f t="shared" si="25"/>
        <x:v>3153</x:v>
      </x:c>
      <x:c r="P19" s="2">
        <x:f t="shared" si="25"/>
        <x:v>3878</x:v>
      </x:c>
      <x:c r="Q19" s="2">
        <x:f t="shared" si="25"/>
        <x:v>5054</x:v>
      </x:c>
      <x:c r="R19" s="2">
        <x:f t="shared" si="25"/>
        <x:v>5009</x:v>
      </x:c>
      <x:c r="S19" s="2">
        <x:f t="shared" si="25"/>
        <x:v>4720</x:v>
      </x:c>
      <x:c r="T19" s="2">
        <x:f t="shared" si="25"/>
        <x:v>4751</x:v>
      </x:c>
      <x:c r="U19" s="2" t="n">
        <x:f>U13-U18</x:f>
        <x:v>5758.6714151147025</x:v>
      </x:c>
      <x:c r="V19" s="2" t="n">
        <x:f t="shared" ref="V19:Z19" si="26">V13-V18</x:f>
        <x:v>5119.926023442669</x:v>
      </x:c>
      <x:c r="W19" s="2">
        <x:f t="shared" si="26"/>
        <x:v>4495.1596982350748</x:v>
      </x:c>
      <x:c r="X19" s="2">
        <x:f t="shared" si="26"/>
        <x:v>5658.9958121314339</x:v>
      </x:c>
      <x:c r="Y19" s="2">
        <x:f t="shared" si="26"/>
        <x:v>5923.5953512041597</x:v>
      </x:c>
      <x:c r="Z19" s="2">
        <x:f t="shared" si="26"/>
        <x:v>5434.7493449716276</x:v>
      </x:c>
      <x:c r="AB19" s="2">
        <x:f t="shared" si="9"/>
        <x:v>20853</x:v>
      </x:c>
      <x:c r="AC19" s="2">
        <x:f t="shared" si="12"/>
        <x:v>17660</x:v>
      </x:c>
      <x:c r="AD19" s="2">
        <x:f t="shared" si="4"/>
        <x:v>17450</x:v>
      </x:c>
      <x:c r="AE19" s="2">
        <x:f t="shared" si="5"/>
        <x:v>17094</x:v>
      </x:c>
      <x:c r="AF19" s="2">
        <x:f t="shared" si="6"/>
        <x:v>20349.597438557372</x:v>
      </x:c>
      <x:c r="AG19" s="2">
        <x:f t="shared" si="10"/>
        <x:v>21512.500206542296</x:v>
      </x:c>
      <x:c r="AH19" s="2">
        <x:f t="shared" si="18"/>
        <x:v>17017.340508307221</x:v>
      </x:c>
      <x:c r="AI19" s="2">
        <x:f t="shared" si="18"/>
        <x:v>32211.344696175787</x:v>
      </x:c>
      <x:c r="AJ19" s="2">
        <x:f t="shared" si="18"/>
        <x:v>43947.749344971628</x:v>
      </x:c>
      <x:c r="AK19" s="2">
        <x:f t="shared" si="18"/>
        <x:v>55963</x:v>
      </x:c>
    </x:row>
    <x:row r="20">
      <x:c r="B20" s="2" t="s">
        <x:v>46</x:v>
      </x:c>
      <x:c r="C20" s="2">
        <x:v>865</x:v>
      </x:c>
      <x:c r="D20" s="2">
        <x:v>667</x:v>
      </x:c>
      <x:c r="E20" s="2">
        <x:v>733</x:v>
      </x:c>
      <x:c r="F20" s="7">
        <x:v>810</x:v>
      </x:c>
      <x:c r="G20" s="2">
        <x:v>771</x:v>
      </x:c>
      <x:c r="H20" s="2">
        <x:v>943</x:v>
      </x:c>
      <x:c r="I20" s="2">
        <x:v>1161</x:v>
      </x:c>
      <x:c r="J20" s="7">
        <x:v>1094</x:v>
      </x:c>
      <x:c r="K20" s="2">
        <x:v>1151</x:v>
      </x:c>
      <x:c r="L20" s="2">
        <x:v>1074</x:v>
      </x:c>
      <x:c r="M20" s="2">
        <x:v>1039</x:v>
      </x:c>
      <x:c r="N20" s="7">
        <x:v>1276</x:v>
      </x:c>
      <x:c r="O20" s="2">
        <x:v>1409</x:v>
      </x:c>
      <x:c r="P20" s="2">
        <x:v>1589</x:v>
      </x:c>
      <x:c r="Q20" s="2">
        <x:v>1630</x:v>
      </x:c>
      <x:c r="R20" s="7">
        <x:v>1783</x:v>
      </x:c>
      <x:c r="S20" s="2">
        <x:v>1946</x:v>
      </x:c>
      <x:c r="T20" s="2">
        <x:v>2371</x:v>
      </x:c>
      <x:c r="U20" s="2" t="n">
        <x:f>U48*U13</x:f>
        <x:v>2185.0421866637957</x:v>
      </x:c>
      <x:c r="V20" s="2" t="n">
        <x:f t="shared" ref="V20:Z20" si="27">V48*V13</x:f>
        <x:v>1938.9711444501909</x:v>
      </x:c>
      <x:c r="W20" s="2">
        <x:f t="shared" si="27"/>
        <x:v>1750.6783011845821</x:v>
      </x:c>
      <x:c r="X20" s="2">
        <x:f t="shared" si="27"/>
        <x:v>2225.3490636361639</x:v>
      </x:c>
      <x:c r="Y20" s="2">
        <x:f t="shared" si="27"/>
        <x:v>2274.3352546108308</x:v>
      </x:c>
      <x:c r="Z20" s="2">
        <x:f t="shared" si="27"/>
        <x:v>2032.3854309178585</x:v>
      </x:c>
      <x:c r="AB20" s="2">
        <x:f t="shared" si="9"/>
        <x:v>3075</x:v>
      </x:c>
      <x:c r="AC20" s="2">
        <x:f t="shared" si="12"/>
        <x:v>3969</x:v>
      </x:c>
      <x:c r="AD20" s="2">
        <x:f t="shared" si="4"/>
        <x:v>4540</x:v>
      </x:c>
      <x:c r="AE20" s="2">
        <x:f t="shared" si="5"/>
        <x:v>6411</x:v>
      </x:c>
      <x:c r="AF20" s="2">
        <x:f t="shared" si="6"/>
        <x:v>8441.0133311139871</x:v>
      </x:c>
      <x:c r="AG20" s="2">
        <x:f t="shared" si="10"/>
        <x:v>8282.7480503494353</x:v>
      </x:c>
      <x:c r="AH20" s="2">
        <x:f t="shared" si="18"/>
        <x:v>6532.0697491648534</x:v>
      </x:c>
      <x:c r="AI20" s="2">
        <x:f t="shared" si="18"/>
        <x:v>7381.7206855286895</x:v>
      </x:c>
      <x:c r="AJ20" s="2">
        <x:f t="shared" si="18"/>
        <x:v>9076.3854309178587</x:v>
      </x:c>
      <x:c r="AK20" s="2">
        <x:f t="shared" si="18"/>
        <x:v>11584</x:v>
      </x:c>
    </x:row>
    <x:row r="21">
      <x:c r="B21" s="2" t="s">
        <x:v>47</x:v>
      </x:c>
      <x:c r="C21" s="2">
        <x:v>992</x:v>
      </x:c>
      <x:c r="D21" s="2">
        <x:v>961</x:v>
      </x:c>
      <x:c r="E21" s="2">
        <x:v>961</x:v>
      </x:c>
      <x:c r="F21" s="7">
        <x:v>1032</x:v>
      </x:c>
      <x:c r="G21" s="2">
        <x:v>1076</x:v>
      </x:c>
      <x:c r="H21" s="2">
        <x:v>1191</x:v>
      </x:c>
      <x:c r="I21" s="2">
        <x:v>1253</x:v>
      </x:c>
      <x:c r="J21" s="7">
        <x:v>1280</x:v>
      </x:c>
      <x:c r="K21" s="2">
        <x:v>1374</x:v>
      </x:c>
      <x:c r="L21" s="2">
        <x:v>1277</x:v>
      </x:c>
      <x:c r="M21" s="2">
        <x:v>1186</x:v>
      </x:c>
      <x:c r="N21" s="7">
        <x:v>1313</x:v>
      </x:c>
      <x:c r="O21" s="2">
        <x:v>1251</x:v>
      </x:c>
      <x:c r="P21" s="2">
        <x:v>1366</x:v>
      </x:c>
      <x:c r="Q21" s="2">
        <x:v>1562</x:v>
      </x:c>
      <x:c r="R21" s="7">
        <x:v>1655</x:v>
      </x:c>
      <x:c r="S21" s="2">
        <x:v>1833</x:v>
      </x:c>
      <x:c r="T21" s="2">
        <x:v>1982</x:v>
      </x:c>
      <x:c r="U21" s="2" t="n">
        <x:f>U49*U13</x:f>
        <x:v>1993.1983082632028</x:v>
      </x:c>
      <x:c r="V21" s="2" t="n">
        <x:f t="shared" ref="V21:Z21" si="28">V49*V13</x:f>
        <x:v>1768.731985349051</x:v>
      </x:c>
      <x:c r="W21" s="2">
        <x:f t="shared" si="28"/>
        <x:v>1596.9710102311701</x:v>
      </x:c>
      <x:c r="X21" s="2">
        <x:f t="shared" si="28"/>
        <x:v>2029.9662935602571</x:v>
      </x:c>
      <x:c r="Y21" s="2">
        <x:f t="shared" si="28"/>
        <x:v>2074.6515603138673</x:v>
      </x:c>
      <x:c r="Z21" s="2">
        <x:f t="shared" si="28"/>
        <x:v>1853.9446182635925</x:v>
      </x:c>
      <x:c r="AB21" s="2">
        <x:f t="shared" si="9"/>
        <x:v>3946</x:v>
      </x:c>
      <x:c r="AC21" s="2">
        <x:f t="shared" si="12"/>
        <x:v>4800</x:v>
      </x:c>
      <x:c r="AD21" s="2">
        <x:f t="shared" si="4"/>
        <x:v>5150</x:v>
      </x:c>
      <x:c r="AE21" s="2">
        <x:f t="shared" si="5"/>
        <x:v>5834</x:v>
      </x:c>
      <x:c r="AF21" s="2">
        <x:f t="shared" si="6"/>
        <x:v>7576.930293612254</x:v>
      </x:c>
      <x:c r="AG21" s="2">
        <x:f t="shared" si="10"/>
        <x:v>7555.5334823688881</x:v>
      </x:c>
      <x:c r="AH21" s="2">
        <x:f t="shared" si="18"/>
        <x:v>5958.5624721377171</x:v>
      </x:c>
      <x:c r="AI21" s="2">
        <x:f t="shared" si="18"/>
        <x:v>7874.5961785774598</x:v>
      </x:c>
      <x:c r="AJ21" s="2">
        <x:f t="shared" si="18"/>
        <x:v>10599.944618263593</x:v>
      </x:c>
      <x:c r="AK21" s="2">
        <x:f t="shared" si="18"/>
        <x:v>13896</x:v>
      </x:c>
    </x:row>
    <x:row r="22">
      <x:c r="B22" s="2" t="s">
        <x:v>48</x:v>
      </x:c>
      <x:c r="D22" s="2">
        <x:v>142</x:v>
      </x:c>
      <x:c r="F22" s="7">
        <x:v>34</x:v>
      </x:c>
      <x:c r="J22" s="7">
        <x:v>0</x:v>
      </x:c>
      <x:c r="L22" s="2">
        <x:v>622</x:v>
      </x:c>
      <x:c r="M22" s="2">
        <x:v>55</x:v>
      </x:c>
      <x:c r="N22" s="7">
        <x:v>7</x:v>
      </x:c>
      <x:c r="O22" s="2">
        <x:v>94</x:v>
      </x:c>
      <x:c r="Q22" s="2">
        <x:v>238</x:v>
      </x:c>
      <x:c r="R22" s="7">
        <x:v>162</x:v>
      </x:c>
      <x:c r="T22" s="2">
        <x:v>0</x:v>
      </x:c>
      <x:c r="U22" s="2">
        <x:v>0</x:v>
      </x:c>
      <x:c r="V22" s="2">
        <x:v>0</x:v>
      </x:c>
      <x:c r="W22" s="2">
        <x:v>0</x:v>
      </x:c>
      <x:c r="X22" s="2">
        <x:v>0</x:v>
      </x:c>
      <x:c r="Y22" s="2">
        <x:v>0</x:v>
      </x:c>
      <x:c r="Z22" s="2">
        <x:v>0</x:v>
      </x:c>
      <x:c r="AB22" s="2">
        <x:f t="shared" si="9"/>
        <x:v>176</x:v>
      </x:c>
      <x:c r="AC22" s="2">
        <x:f t="shared" si="12"/>
        <x:v>0</x:v>
      </x:c>
      <x:c r="AD22" s="2">
        <x:f t="shared" si="4"/>
        <x:v>684</x:v>
      </x:c>
      <x:c r="AE22" s="2">
        <x:f t="shared" si="5"/>
        <x:v>494</x:v>
      </x:c>
      <x:c r="AF22" s="2">
        <x:f t="shared" si="6"/>
        <x:v>0</x:v>
      </x:c>
      <x:c r="AG22" s="2">
        <x:f t="shared" si="10"/>
        <x:v>0</x:v>
      </x:c>
      <x:c r="AH22" s="2">
        <x:f t="shared" si="18"/>
        <x:v>0</x:v>
      </x:c>
      <x:c r="AI22" s="2">
        <x:f t="shared" si="18"/>
        <x:v>176</x:v>
      </x:c>
      <x:c r="AJ22" s="2">
        <x:f t="shared" si="18"/>
        <x:v>176</x:v>
      </x:c>
      <x:c r="AK22" s="2">
        <x:f t="shared" si="18"/>
        <x:v>860</x:v>
      </x:c>
    </x:row>
    <x:row r="23">
      <x:c r="B23" s="8" t="s">
        <x:v>49</x:v>
      </x:c>
      <x:c r="C23" s="2" t="n">
        <x:f t="shared" ref="C23:T23" si="29">C20+C21+C22</x:f>
        <x:v>1857</x:v>
      </x:c>
      <x:c r="D23" s="2">
        <x:f t="shared" si="29"/>
        <x:v>1770</x:v>
      </x:c>
      <x:c r="E23" s="2">
        <x:f t="shared" si="29"/>
        <x:v>1694</x:v>
      </x:c>
      <x:c r="F23" s="2">
        <x:f t="shared" si="29"/>
        <x:v>1876</x:v>
      </x:c>
      <x:c r="G23" s="2">
        <x:f t="shared" si="29"/>
        <x:v>1847</x:v>
      </x:c>
      <x:c r="H23" s="2">
        <x:f t="shared" si="29"/>
        <x:v>2134</x:v>
      </x:c>
      <x:c r="I23" s="2">
        <x:f t="shared" si="29"/>
        <x:v>2414</x:v>
      </x:c>
      <x:c r="J23" s="2">
        <x:f t="shared" si="29"/>
        <x:v>2374</x:v>
      </x:c>
      <x:c r="K23" s="2">
        <x:f t="shared" si="29"/>
        <x:v>2525</x:v>
      </x:c>
      <x:c r="L23" s="2">
        <x:f t="shared" si="29"/>
        <x:v>2973</x:v>
      </x:c>
      <x:c r="M23" s="2">
        <x:f t="shared" si="29"/>
        <x:v>2280</x:v>
      </x:c>
      <x:c r="N23" s="2">
        <x:f t="shared" si="29"/>
        <x:v>2596</x:v>
      </x:c>
      <x:c r="O23" s="2">
        <x:f t="shared" si="29"/>
        <x:v>2754</x:v>
      </x:c>
      <x:c r="P23" s="2">
        <x:f t="shared" si="29"/>
        <x:v>2955</x:v>
      </x:c>
      <x:c r="Q23" s="2">
        <x:f t="shared" si="29"/>
        <x:v>3430</x:v>
      </x:c>
      <x:c r="R23" s="2">
        <x:f t="shared" si="29"/>
        <x:v>3600</x:v>
      </x:c>
      <x:c r="S23" s="2">
        <x:f t="shared" si="29"/>
        <x:v>3779</x:v>
      </x:c>
      <x:c r="T23" s="2">
        <x:f t="shared" si="29"/>
        <x:v>4353</x:v>
      </x:c>
      <x:c r="U23" s="2" t="n">
        <x:f>SUM(U20:U22)</x:f>
        <x:v>4178.2404949269985</x:v>
      </x:c>
      <x:c r="V23" s="2" t="n">
        <x:f t="shared" ref="V23:Z23" si="30">SUM(V20:V22)</x:f>
        <x:v>3707.7031297992417</x:v>
      </x:c>
      <x:c r="W23" s="2">
        <x:f t="shared" si="30"/>
        <x:v>3347.649311415752</x:v>
      </x:c>
      <x:c r="X23" s="2">
        <x:f t="shared" si="30"/>
        <x:v>4255.3153571964212</x:v>
      </x:c>
      <x:c r="Y23" s="2">
        <x:f t="shared" si="30"/>
        <x:v>4348.9868149246977</x:v>
      </x:c>
      <x:c r="Z23" s="2">
        <x:f t="shared" si="30"/>
        <x:v>3886.3300491814507</x:v>
      </x:c>
      <x:c r="AB23" s="2">
        <x:f t="shared" si="9"/>
        <x:v>7197</x:v>
      </x:c>
      <x:c r="AC23" s="2">
        <x:f t="shared" si="12"/>
        <x:v>8769</x:v>
      </x:c>
      <x:c r="AD23" s="2">
        <x:f t="shared" si="4"/>
        <x:v>10374</x:v>
      </x:c>
      <x:c r="AE23" s="2">
        <x:f t="shared" si="5"/>
        <x:v>12739</x:v>
      </x:c>
      <x:c r="AF23" s="2">
        <x:f t="shared" si="6"/>
        <x:v>16017.94362472624</x:v>
      </x:c>
      <x:c r="AG23" s="2">
        <x:f t="shared" si="10"/>
        <x:v>15838.281532718323</x:v>
      </x:c>
      <x:c r="AH23" s="2">
        <x:f t="shared" si="18"/>
        <x:v>12490.632221302571</x:v>
      </x:c>
      <x:c r="AI23" s="2">
        <x:f t="shared" si="18"/>
        <x:v>15432.316864106149</x:v>
      </x:c>
      <x:c r="AJ23" s="2">
        <x:f t="shared" si="18"/>
        <x:v>19852.330049181452</x:v>
      </x:c>
      <x:c r="AK23" s="2">
        <x:f t="shared" si="18"/>
        <x:v>26340</x:v>
      </x:c>
    </x:row>
    <x:row r="24">
      <x:c r="B24" s="2" t="s">
        <x:v>50</x:v>
      </x:c>
      <x:c r="C24" s="2" t="n">
        <x:f t="shared" ref="C24:T24" si="31">C19-C23</x:f>
        <x:v>3603</x:v>
      </x:c>
      <x:c r="D24" s="2">
        <x:f t="shared" si="31"/>
        <x:v>2464</x:v>
      </x:c>
      <x:c r="E24" s="2">
        <x:f t="shared" si="31"/>
        <x:v>3688</x:v>
      </x:c>
      <x:c r="F24" s="2">
        <x:f t="shared" si="31"/>
        <x:v>3901</x:v>
      </x:c>
      <x:c r="G24" s="2">
        <x:f t="shared" si="31"/>
        <x:v>2664</x:v>
      </x:c>
      <x:c r="H24" s="2">
        <x:f t="shared" si="31"/>
        <x:v>2399</x:v>
      </x:c>
      <x:c r="I24" s="2">
        <x:f t="shared" si="31"/>
        <x:v>1764</x:v>
      </x:c>
      <x:c r="J24" s="2">
        <x:f t="shared" si="31"/>
        <x:v>2064</x:v>
      </x:c>
      <x:c r="K24" s="2">
        <x:f t="shared" si="31"/>
        <x:v>1171</x:v>
      </x:c>
      <x:c r="L24" s="2">
        <x:f t="shared" si="31"/>
        <x:v>1605</x:v>
      </x:c>
      <x:c r="M24" s="2">
        <x:f t="shared" si="31"/>
        <x:v>2717</x:v>
      </x:c>
      <x:c r="N24" s="2">
        <x:f t="shared" si="31"/>
        <x:v>1583</x:v>
      </x:c>
      <x:c r="O24" s="2">
        <x:f t="shared" si="31"/>
        <x:v>399</x:v>
      </x:c>
      <x:c r="P24" s="2">
        <x:f t="shared" si="31"/>
        <x:v>923</x:v>
      </x:c>
      <x:c r="Q24" s="2">
        <x:f t="shared" si="31"/>
        <x:v>1624</x:v>
      </x:c>
      <x:c r="R24" s="2">
        <x:f t="shared" si="31"/>
        <x:v>1409</x:v>
      </x:c>
      <x:c r="S24" s="2">
        <x:f t="shared" si="31"/>
        <x:v>941</x:v>
      </x:c>
      <x:c r="T24" s="2">
        <x:f t="shared" si="31"/>
        <x:v>398</x:v>
      </x:c>
      <x:c r="U24" s="2" t="n">
        <x:f>U19-U23</x:f>
        <x:v>1580.430920187704</x:v>
      </x:c>
      <x:c r="V24" s="2" t="n">
        <x:f t="shared" ref="V24:Z24" si="32">V19-V23</x:f>
        <x:v>1412.2228936434276</x:v>
      </x:c>
      <x:c r="W24" s="2">
        <x:f t="shared" si="32"/>
        <x:v>1147.5103868193228</x:v>
      </x:c>
      <x:c r="X24" s="2">
        <x:f t="shared" si="32"/>
        <x:v>1403.6804549350127</x:v>
      </x:c>
      <x:c r="Y24" s="2">
        <x:f t="shared" si="32"/>
        <x:v>1574.608536279462</x:v>
      </x:c>
      <x:c r="Z24" s="2">
        <x:f t="shared" si="32"/>
        <x:v>1548.4192957901769</x:v>
      </x:c>
      <x:c r="AB24" s="2">
        <x:f t="shared" si="9"/>
        <x:v>13656</x:v>
      </x:c>
      <x:c r="AC24" s="2">
        <x:f t="shared" si="12"/>
        <x:v>8891</x:v>
      </x:c>
      <x:c r="AD24" s="2">
        <x:f t="shared" si="4"/>
        <x:v>7076</x:v>
      </x:c>
      <x:c r="AE24" s="2">
        <x:f t="shared" si="5"/>
        <x:v>4355</x:v>
      </x:c>
      <x:c r="AF24" s="2">
        <x:f t="shared" si="6"/>
        <x:v>4331.6538138311316</x:v>
      </x:c>
      <x:c r="AG24" s="2">
        <x:f t="shared" si="10"/>
        <x:v>5674.2186738239743</x:v>
      </x:c>
      <x:c r="AH24" s="2" t="n">
        <x:f t="shared" ref="AH24:AH32" si="33">SUM(X24:AA24)</x:f>
        <x:v>4526.7082870046515</x:v>
      </x:c>
      <x:c r="AI24" s="2" t="n">
        <x:f t="shared" ref="AI24:AI32" si="34">SUM(Y24:AB24)</x:f>
        <x:v>16779.027832069638</x:v>
      </x:c>
      <x:c r="AJ24" s="2" t="n">
        <x:f t="shared" ref="AJ24:AJ32" si="35">SUM(Z24:AC24)</x:f>
        <x:v>24095.419295790176</x:v>
      </x:c>
      <x:c r="AK24" s="2" t="n">
        <x:f t="shared" ref="AK24:AK32" si="36">SUM(AA24:AD24)</x:f>
        <x:v>29623</x:v>
      </x:c>
    </x:row>
    <x:row r="25">
      <x:c r="B25" s="2" t="s">
        <x:v>51</x:v>
      </x:c>
      <x:c r="C25" s="2">
        <x:v>28</x:v>
      </x:c>
      <x:c r="D25" s="2">
        <x:v>26</x:v>
      </x:c>
      <x:c r="E25" s="2">
        <x:v>86</x:v>
      </x:c>
      <x:c r="F25" s="7">
        <x:v>157</x:v>
      </x:c>
      <x:c r="G25" s="2">
        <x:v>213</x:v>
      </x:c>
      <x:c r="H25" s="2">
        <x:v>238</x:v>
      </x:c>
      <x:c r="I25" s="2">
        <x:v>282</x:v>
      </x:c>
      <x:c r="J25" s="7">
        <x:v>333</x:v>
      </x:c>
      <x:c r="K25" s="2">
        <x:v>350</x:v>
      </x:c>
      <x:c r="L25" s="2">
        <x:v>348</x:v>
      </x:c>
      <x:c r="M25" s="2">
        <x:v>429</x:v>
      </x:c>
      <x:c r="N25" s="7">
        <x:v>442</x:v>
      </x:c>
      <x:c r="O25" s="2">
        <x:v>400</x:v>
      </x:c>
      <x:c r="P25" s="2">
        <x:v>392</x:v>
      </x:c>
      <x:c r="Q25" s="2">
        <x:v>439</x:v>
      </x:c>
      <x:c r="R25" s="7">
        <x:v>449</x:v>
      </x:c>
      <x:c r="S25" s="2">
        <x:v>434</x:v>
      </x:c>
      <x:c r="T25" s="2">
        <x:v>422</x:v>
      </x:c>
      <x:c r="U25" s="2" t="n">
        <x:f>AVERAGE(Q25:T25)</x:f>
        <x:v>436</x:v>
      </x:c>
      <x:c r="V25" s="2" t="n">
        <x:f>U25</x:f>
        <x:v>436</x:v>
      </x:c>
      <x:c r="W25" s="2" t="n">
        <x:f t="shared" ref="W25:Z25" si="37">V25</x:f>
        <x:v>436</x:v>
      </x:c>
      <x:c r="X25" s="2">
        <x:f t="shared" si="37"/>
        <x:v>436</x:v>
      </x:c>
      <x:c r="Y25" s="2">
        <x:f t="shared" si="37"/>
        <x:v>436</x:v>
      </x:c>
      <x:c r="Z25" s="2">
        <x:f t="shared" si="37"/>
        <x:v>436</x:v>
      </x:c>
      <x:c r="AB25" s="2">
        <x:f t="shared" si="9"/>
        <x:v>297</x:v>
      </x:c>
      <x:c r="AC25" s="2">
        <x:f t="shared" si="12"/>
        <x:v>1066</x:v>
      </x:c>
      <x:c r="AD25" s="2">
        <x:f t="shared" si="4"/>
        <x:v>1569</x:v>
      </x:c>
      <x:c r="AE25" s="2">
        <x:f t="shared" si="5"/>
        <x:v>1680</x:v>
      </x:c>
      <x:c r="AF25" s="2">
        <x:f t="shared" si="6"/>
        <x:v>1728</x:v>
      </x:c>
      <x:c r="AG25" s="2">
        <x:f t="shared" si="10"/>
        <x:v>1744</x:v>
      </x:c>
      <x:c r="AH25" s="2">
        <x:f t="shared" si="33"/>
        <x:v>1308</x:v>
      </x:c>
      <x:c r="AI25" s="2">
        <x:f t="shared" si="34"/>
        <x:v>1169</x:v>
      </x:c>
      <x:c r="AJ25" s="2">
        <x:f t="shared" si="35"/>
        <x:v>1799</x:v>
      </x:c>
      <x:c r="AK25" s="2">
        <x:f t="shared" si="36"/>
        <x:v>2932</x:v>
      </x:c>
    </x:row>
    <x:row r="26">
      <x:c r="B26" s="2" t="s">
        <x:v>52</x:v>
      </x:c>
      <x:c r="C26" s="2">
        <x:v>-61</x:v>
      </x:c>
      <x:c r="D26" s="2">
        <x:v>-44</x:v>
      </x:c>
      <x:c r="E26" s="2">
        <x:v>-53</x:v>
      </x:c>
      <x:c r="F26" s="7">
        <x:v>-33</x:v>
      </x:c>
      <x:c r="G26" s="2">
        <x:v>-29</x:v>
      </x:c>
      <x:c r="H26" s="2">
        <x:v>-28</x:v>
      </x:c>
      <x:c r="I26" s="2">
        <x:v>-38</x:v>
      </x:c>
      <x:c r="J26" s="7">
        <x:v>-61</x:v>
      </x:c>
      <x:c r="K26" s="2">
        <x:v>-76</x:v>
      </x:c>
      <x:c r="L26" s="2">
        <x:v>-86</x:v>
      </x:c>
      <x:c r="M26" s="2">
        <x:v>-92</x:v>
      </x:c>
      <x:c r="N26" s="7">
        <x:v>-96</x:v>
      </x:c>
      <x:c r="O26" s="2">
        <x:v>-91</x:v>
      </x:c>
      <x:c r="P26" s="2">
        <x:v>-86</x:v>
      </x:c>
      <x:c r="Q26" s="2">
        <x:v>-76</x:v>
      </x:c>
      <x:c r="R26" s="7">
        <x:v>-85</x:v>
      </x:c>
      <x:c r="S26" s="2">
        <x:v>-92</x:v>
      </x:c>
      <x:c r="T26" s="2">
        <x:v>-81</x:v>
      </x:c>
      <x:c r="U26" s="2" t="n">
        <x:f t="shared" ref="U26" si="38">AVERAGE(Q26:T26)</x:f>
        <x:v>-83.5</x:v>
      </x:c>
      <x:c r="V26" s="2" t="n">
        <x:f>U26</x:f>
        <x:v>-83.5</x:v>
      </x:c>
      <x:c r="W26" s="2" t="n">
        <x:f t="shared" ref="W26:Z26" si="39">V26</x:f>
        <x:v>-83.5</x:v>
      </x:c>
      <x:c r="X26" s="2">
        <x:f t="shared" si="39"/>
        <x:v>-83.5</x:v>
      </x:c>
      <x:c r="Y26" s="2">
        <x:f t="shared" si="39"/>
        <x:v>-83.5</x:v>
      </x:c>
      <x:c r="Z26" s="2">
        <x:f t="shared" si="39"/>
        <x:v>-83.5</x:v>
      </x:c>
      <x:c r="AB26" s="2">
        <x:f t="shared" si="9"/>
        <x:v>-191</x:v>
      </x:c>
      <x:c r="AC26" s="2">
        <x:f t="shared" si="12"/>
        <x:v>-156</x:v>
      </x:c>
      <x:c r="AD26" s="2">
        <x:f t="shared" si="4"/>
        <x:v>-350</x:v>
      </x:c>
      <x:c r="AE26" s="2">
        <x:f t="shared" si="5"/>
        <x:v>-338</x:v>
      </x:c>
      <x:c r="AF26" s="2">
        <x:f t="shared" si="6"/>
        <x:v>-340</x:v>
      </x:c>
      <x:c r="AG26" s="2">
        <x:f t="shared" si="10"/>
        <x:v>-334</x:v>
      </x:c>
      <x:c r="AH26" s="2">
        <x:f t="shared" si="33"/>
        <x:v>-250.5</x:v>
      </x:c>
      <x:c r="AI26" s="2">
        <x:f t="shared" si="34"/>
        <x:v>-358</x:v>
      </x:c>
      <x:c r="AJ26" s="2">
        <x:f t="shared" si="35"/>
        <x:v>-430.5</x:v>
      </x:c>
      <x:c r="AK26" s="2">
        <x:f t="shared" si="36"/>
        <x:v>-697</x:v>
      </x:c>
    </x:row>
    <x:row r="27">
      <x:c r="B27" s="2" t="s">
        <x:v>53</x:v>
      </x:c>
      <x:c r="C27" s="2">
        <x:v>56</x:v>
      </x:c>
      <x:c r="D27" s="2">
        <x:v>28</x:v>
      </x:c>
      <x:c r="E27" s="2">
        <x:v>-85</x:v>
      </x:c>
      <x:c r="F27" s="7">
        <x:v>-42</x:v>
      </x:c>
      <x:c r="G27" s="2">
        <x:v>-48</x:v>
      </x:c>
      <x:c r="H27" s="2">
        <x:v>328</x:v>
      </x:c>
      <x:c r="I27" s="2">
        <x:v>37</x:v>
      </x:c>
      <x:c r="J27" s="7">
        <x:v>-145</x:v>
      </x:c>
      <x:c r="K27" s="2">
        <x:v>108</x:v>
      </x:c>
      <x:c r="L27" s="2">
        <x:v>20</x:v>
      </x:c>
      <x:c r="M27" s="2">
        <x:v>-263</x:v>
      </x:c>
      <x:c r="N27" s="7">
        <x:v>830</x:v>
      </x:c>
      <x:c r="O27" s="2">
        <x:v>-119</x:v>
      </x:c>
      <x:c r="P27" s="2">
        <x:v>320</x:v>
      </x:c>
      <x:c r="Q27" s="2">
        <x:v>-28</x:v>
      </x:c>
      <x:c r="R27" s="7">
        <x:v>-592</x:v>
      </x:c>
      <x:c r="S27" s="2">
        <x:v>-535</x:v>
      </x:c>
      <x:c r="T27" s="2">
        <x:v>590</x:v>
      </x:c>
      <x:c r="U27" s="2">
        <x:v>0</x:v>
      </x:c>
      <x:c r="V27" s="2">
        <x:v>0</x:v>
      </x:c>
      <x:c r="W27" s="2">
        <x:v>0</x:v>
      </x:c>
      <x:c r="X27" s="2">
        <x:v>0</x:v>
      </x:c>
      <x:c r="Y27" s="2">
        <x:v>0</x:v>
      </x:c>
      <x:c r="Z27" s="2">
        <x:v>0</x:v>
      </x:c>
      <x:c r="AB27" s="2">
        <x:f t="shared" si="9"/>
        <x:v>-43</x:v>
      </x:c>
      <x:c r="AC27" s="2">
        <x:f t="shared" si="12"/>
        <x:v>172</x:v>
      </x:c>
      <x:c r="AD27" s="2">
        <x:f t="shared" si="4"/>
        <x:v>695</x:v>
      </x:c>
      <x:c r="AE27" s="2">
        <x:f t="shared" si="5"/>
        <x:v>-419</x:v>
      </x:c>
      <x:c r="AF27" s="2">
        <x:f t="shared" si="6"/>
        <x:v>55</x:v>
      </x:c>
      <x:c r="AG27" s="2">
        <x:f t="shared" si="10"/>
        <x:v>0</x:v>
      </x:c>
      <x:c r="AH27" s="2">
        <x:f t="shared" si="33"/>
        <x:v>0</x:v>
      </x:c>
      <x:c r="AI27" s="2">
        <x:f t="shared" si="34"/>
        <x:v>-43</x:v>
      </x:c>
      <x:c r="AJ27" s="2">
        <x:f t="shared" si="35"/>
        <x:v>129</x:v>
      </x:c>
      <x:c r="AK27" s="2">
        <x:f t="shared" si="36"/>
        <x:v>824</x:v>
      </x:c>
    </x:row>
    <x:row r="28">
      <x:c r="B28" s="8" t="s">
        <x:v>54</x:v>
      </x:c>
      <x:c r="C28" s="2" t="n">
        <x:f t="shared" ref="C28:T28" si="40">C24+C25+C26+C27</x:f>
        <x:v>3626</x:v>
      </x:c>
      <x:c r="D28" s="2">
        <x:f t="shared" si="40"/>
        <x:v>2474</x:v>
      </x:c>
      <x:c r="E28" s="2">
        <x:f t="shared" si="40"/>
        <x:v>3636</x:v>
      </x:c>
      <x:c r="F28" s="2">
        <x:f t="shared" si="40"/>
        <x:v>3983</x:v>
      </x:c>
      <x:c r="G28" s="2">
        <x:f t="shared" si="40"/>
        <x:v>2800</x:v>
      </x:c>
      <x:c r="H28" s="2">
        <x:f t="shared" si="40"/>
        <x:v>2937</x:v>
      </x:c>
      <x:c r="I28" s="2">
        <x:f t="shared" si="40"/>
        <x:v>2045</x:v>
      </x:c>
      <x:c r="J28" s="2">
        <x:f t="shared" si="40"/>
        <x:v>2191</x:v>
      </x:c>
      <x:c r="K28" s="2">
        <x:f t="shared" si="40"/>
        <x:v>1553</x:v>
      </x:c>
      <x:c r="L28" s="2">
        <x:f t="shared" si="40"/>
        <x:v>1887</x:v>
      </x:c>
      <x:c r="M28" s="2">
        <x:f t="shared" si="40"/>
        <x:v>2791</x:v>
      </x:c>
      <x:c r="N28" s="2">
        <x:f t="shared" si="40"/>
        <x:v>2759</x:v>
      </x:c>
      <x:c r="O28" s="2">
        <x:f t="shared" si="40"/>
        <x:v>589</x:v>
      </x:c>
      <x:c r="P28" s="2">
        <x:f t="shared" si="40"/>
        <x:v>1549</x:v>
      </x:c>
      <x:c r="Q28" s="2">
        <x:f t="shared" si="40"/>
        <x:v>1959</x:v>
      </x:c>
      <x:c r="R28" s="2">
        <x:f t="shared" si="40"/>
        <x:v>1181</x:v>
      </x:c>
      <x:c r="S28" s="2">
        <x:f t="shared" si="40"/>
        <x:v>748</x:v>
      </x:c>
      <x:c r="T28" s="2">
        <x:f t="shared" si="40"/>
        <x:v>1329</x:v>
      </x:c>
      <x:c r="U28" s="2" t="n">
        <x:f>SUM(U24:U27)</x:f>
        <x:v>1932.930920187704</x:v>
      </x:c>
      <x:c r="V28" s="2" t="n">
        <x:f t="shared" ref="V28:Z28" si="41">SUM(V24:V27)</x:f>
        <x:v>1764.7228936434276</x:v>
      </x:c>
      <x:c r="W28" s="2">
        <x:f t="shared" si="41"/>
        <x:v>1500.0103868193228</x:v>
      </x:c>
      <x:c r="X28" s="2">
        <x:f t="shared" si="41"/>
        <x:v>1756.1804549350127</x:v>
      </x:c>
      <x:c r="Y28" s="2">
        <x:f t="shared" si="41"/>
        <x:v>1927.108536279462</x:v>
      </x:c>
      <x:c r="Z28" s="2">
        <x:f t="shared" si="41"/>
        <x:v>1900.9192957901769</x:v>
      </x:c>
      <x:c r="AB28" s="2">
        <x:f t="shared" si="9"/>
        <x:v>13719</x:v>
      </x:c>
      <x:c r="AC28" s="2">
        <x:f t="shared" si="12"/>
        <x:v>9973</x:v>
      </x:c>
      <x:c r="AD28" s="2">
        <x:f t="shared" si="4"/>
        <x:v>8990</x:v>
      </x:c>
      <x:c r="AE28" s="2">
        <x:f t="shared" si="5"/>
        <x:v>5278</x:v>
      </x:c>
      <x:c r="AF28" s="2">
        <x:f t="shared" si="6"/>
        <x:v>5774.6538138311316</x:v>
      </x:c>
      <x:c r="AG28" s="2">
        <x:f t="shared" si="10"/>
        <x:v>7084.2186738239743</x:v>
      </x:c>
      <x:c r="AH28" s="2">
        <x:f t="shared" si="33"/>
        <x:v>5584.2082870046515</x:v>
      </x:c>
      <x:c r="AI28" s="2">
        <x:f t="shared" si="34"/>
        <x:v>17547.027832069638</x:v>
      </x:c>
      <x:c r="AJ28" s="2">
        <x:f t="shared" si="35"/>
        <x:v>25592.919295790176</x:v>
      </x:c>
      <x:c r="AK28" s="2">
        <x:f t="shared" si="36"/>
        <x:v>32682</x:v>
      </x:c>
    </x:row>
    <x:row r="29">
      <x:c r="B29" s="2" t="s">
        <x:v>55</x:v>
      </x:c>
      <x:c r="C29" s="2">
        <x:v>346</x:v>
      </x:c>
      <x:c r="D29" s="2">
        <x:v>205</x:v>
      </x:c>
      <x:c r="E29" s="2">
        <x:v>305</x:v>
      </x:c>
      <x:c r="F29" s="7">
        <x:v>276</x:v>
      </x:c>
      <x:c r="G29" s="2">
        <x:v>261</x:v>
      </x:c>
      <x:c r="H29" s="2">
        <x:v>323</x:v>
      </x:c>
      <x:c r="I29" s="2">
        <x:v>167</x:v>
      </x:c>
      <x:c r="J29" s="7">
        <x:v>-5752</x:v>
      </x:c>
      <x:c r="K29" s="2">
        <x:v>409</x:v>
      </x:c>
      <x:c r="L29" s="2">
        <x:v>393</x:v>
      </x:c>
      <x:c r="M29" s="2">
        <x:v>602</x:v>
      </x:c>
      <x:c r="N29" s="7">
        <x:v>433</x:v>
      </x:c>
      <x:c r="O29" s="2">
        <x:v>169</x:v>
      </x:c>
      <x:c r="P29" s="2">
        <x:v>359</x:v>
      </x:c>
      <x:c r="Q29" s="2">
        <x:v>570</x:v>
      </x:c>
      <x:c r="R29" s="7">
        <x:v>325</x:v>
      </x:c>
      <x:c r="S29" s="2">
        <x:v>257</x:v>
      </x:c>
      <x:c r="T29" s="2">
        <x:v>201</x:v>
      </x:c>
      <x:c r="U29" s="2" t="n">
        <x:f>U28*U51</x:f>
        <x:v>512.700125242139</x:v>
      </x:c>
      <x:c r="V29" s="2" t="n">
        <x:f t="shared" ref="V29:Z29" si="42">V28*V51</x:f>
        <x:v>468.08379913587083</x:v>
      </x:c>
      <x:c r="W29" s="2">
        <x:f t="shared" si="42"/>
        <x:v>397.87014898188619</x:v>
      </x:c>
      <x:c r="X29" s="2">
        <x:f t="shared" si="42"/>
        <x:v>465.81796058471753</x:v>
      </x:c>
      <x:c r="Y29" s="2">
        <x:f t="shared" si="42"/>
        <x:v>511.15576743411469</x:v>
      </x:c>
      <x:c r="Z29" s="2">
        <x:f t="shared" si="42"/>
        <x:v>504.20920419244999</x:v>
      </x:c>
      <x:c r="AB29" s="2">
        <x:f t="shared" si="9"/>
        <x:v>1132</x:v>
      </x:c>
      <x:c r="AC29" s="2">
        <x:f t="shared" si="12"/>
        <x:v>-5001</x:v>
      </x:c>
      <x:c r="AD29" s="2">
        <x:f t="shared" si="4"/>
        <x:v>1837</x:v>
      </x:c>
      <x:c r="AE29" s="2">
        <x:f t="shared" si="5"/>
        <x:v>1423</x:v>
      </x:c>
      <x:c r="AF29" s="2">
        <x:f t="shared" si="6"/>
        <x:v>1438.7839243780099</x:v>
      </x:c>
      <x:c r="AG29" s="2">
        <x:f t="shared" si="10"/>
        <x:v>1879.0530811931685</x:v>
      </x:c>
      <x:c r="AH29" s="2">
        <x:f t="shared" si="33"/>
        <x:v>1481.1829322112822</x:v>
      </x:c>
      <x:c r="AI29" s="2">
        <x:f t="shared" si="34"/>
        <x:v>2147.3649716265645</x:v>
      </x:c>
      <x:c r="AJ29" s="2">
        <x:f t="shared" si="35"/>
        <x:v>-3364.7907958075502</x:v>
      </x:c>
      <x:c r="AK29" s="2">
        <x:f t="shared" si="36"/>
        <x:v>-2032</x:v>
      </x:c>
    </x:row>
    <x:row r="30">
      <x:c r="B30" s="8" t="s">
        <x:v>56</x:v>
      </x:c>
      <x:c r="C30" s="2" t="n">
        <x:f t="shared" ref="C30:T30" si="43">C28-C29</x:f>
        <x:v>3280</x:v>
      </x:c>
      <x:c r="D30" s="2">
        <x:f t="shared" si="43"/>
        <x:v>2269</x:v>
      </x:c>
      <x:c r="E30" s="2">
        <x:f t="shared" si="43"/>
        <x:v>3331</x:v>
      </x:c>
      <x:c r="F30" s="2">
        <x:f t="shared" si="43"/>
        <x:v>3707</x:v>
      </x:c>
      <x:c r="G30" s="2">
        <x:f t="shared" si="43"/>
        <x:v>2539</x:v>
      </x:c>
      <x:c r="H30" s="2">
        <x:f t="shared" si="43"/>
        <x:v>2614</x:v>
      </x:c>
      <x:c r="I30" s="2">
        <x:f t="shared" si="43"/>
        <x:v>1878</x:v>
      </x:c>
      <x:c r="J30" s="2">
        <x:f t="shared" si="43"/>
        <x:v>7943</x:v>
      </x:c>
      <x:c r="K30" s="2">
        <x:f t="shared" si="43"/>
        <x:v>1144</x:v>
      </x:c>
      <x:c r="L30" s="2">
        <x:f t="shared" si="43"/>
        <x:v>1494</x:v>
      </x:c>
      <x:c r="M30" s="2">
        <x:f t="shared" si="43"/>
        <x:v>2189</x:v>
      </x:c>
      <x:c r="N30" s="2">
        <x:f t="shared" si="43"/>
        <x:v>2326</x:v>
      </x:c>
      <x:c r="O30" s="2">
        <x:f t="shared" si="43"/>
        <x:v>420</x:v>
      </x:c>
      <x:c r="P30" s="2">
        <x:f t="shared" si="43"/>
        <x:v>1190</x:v>
      </x:c>
      <x:c r="Q30" s="2">
        <x:f t="shared" si="43"/>
        <x:v>1389</x:v>
      </x:c>
      <x:c r="R30" s="2">
        <x:f t="shared" si="43"/>
        <x:v>856</x:v>
      </x:c>
      <x:c r="S30" s="2">
        <x:f t="shared" si="43"/>
        <x:v>491</x:v>
      </x:c>
      <x:c r="T30" s="2">
        <x:f t="shared" si="43"/>
        <x:v>1128</x:v>
      </x:c>
      <x:c r="U30" s="2" t="n">
        <x:f>U28-U29</x:f>
        <x:v>1420.2307949455649</x:v>
      </x:c>
      <x:c r="V30" s="2" t="n">
        <x:f t="shared" ref="V30:Z30" si="44">V28-V29</x:f>
        <x:v>1296.6390945075568</x:v>
      </x:c>
      <x:c r="W30" s="2">
        <x:f t="shared" si="44"/>
        <x:v>1102.1402378374366</x:v>
      </x:c>
      <x:c r="X30" s="2">
        <x:f t="shared" si="44"/>
        <x:v>1290.362494350295</x:v>
      </x:c>
      <x:c r="Y30" s="2">
        <x:f t="shared" si="44"/>
        <x:v>1415.9527688453472</x:v>
      </x:c>
      <x:c r="Z30" s="2">
        <x:f t="shared" si="44"/>
        <x:v>1396.7100915977269</x:v>
      </x:c>
      <x:c r="AB30" s="2">
        <x:f t="shared" si="9"/>
        <x:v>12587</x:v>
      </x:c>
      <x:c r="AC30" s="2">
        <x:f t="shared" si="12"/>
        <x:v>14974</x:v>
      </x:c>
      <x:c r="AD30" s="2">
        <x:f t="shared" si="4"/>
        <x:v>7153</x:v>
      </x:c>
      <x:c r="AE30" s="2">
        <x:f t="shared" si="5"/>
        <x:v>3855</x:v>
      </x:c>
      <x:c r="AF30" s="2">
        <x:f t="shared" si="6"/>
        <x:v>4335.8698894531217</x:v>
      </x:c>
      <x:c r="AG30" s="2">
        <x:f t="shared" si="10"/>
        <x:v>5205.1655926308058</x:v>
      </x:c>
      <x:c r="AH30" s="2">
        <x:f t="shared" si="33"/>
        <x:v>4103.0253547933689</x:v>
      </x:c>
      <x:c r="AI30" s="2">
        <x:f t="shared" si="34"/>
        <x:v>15399.662860443073</x:v>
      </x:c>
      <x:c r="AJ30" s="2">
        <x:f t="shared" si="35"/>
        <x:v>28957.710091597728</x:v>
      </x:c>
      <x:c r="AK30" s="2">
        <x:f t="shared" si="36"/>
        <x:v>34714</x:v>
      </x:c>
    </x:row>
    <x:row r="31">
      <x:c r="B31" s="2" t="s">
        <x:v>57</x:v>
      </x:c>
      <x:c r="C31" s="2">
        <x:v>-38</x:v>
      </x:c>
      <x:c r="D31" s="2">
        <x:v>10</x:v>
      </x:c>
      <x:c r="E31" s="2">
        <x:v>39</x:v>
      </x:c>
      <x:c r="F31" s="7">
        <x:v>20</x:v>
      </x:c>
      <x:c r="G31" s="2">
        <x:v>26</x:v>
      </x:c>
      <x:c r="H31" s="2">
        <x:v>-89</x:v>
      </x:c>
      <x:c r="I31" s="2">
        <x:v>25</x:v>
      </x:c>
      <x:c r="J31" s="7">
        <x:v>15</x:v>
      </x:c>
      <x:c r="K31" s="2">
        <x:v>15</x:v>
      </x:c>
      <x:c r="L31" s="2">
        <x:v>16</x:v>
      </x:c>
      <x:c r="M31" s="2">
        <x:v>16</x:v>
      </x:c>
      <x:c r="N31" s="7">
        <x:v>15</x:v>
      </x:c>
      <x:c r="O31" s="2">
        <x:v>11</x:v>
      </x:c>
      <x:c r="P31" s="2">
        <x:v>18</x:v>
      </x:c>
      <x:c r="Q31" s="2">
        <x:v>16</x:v>
      </x:c>
      <x:c r="R31" s="7">
        <x:v>16</x:v>
      </x:c>
      <x:c r="S31" s="2">
        <x:v>491</x:v>
      </x:c>
      <x:c r="T31" s="2">
        <x:v>14</x:v>
      </x:c>
      <x:c r="U31" s="2">
        <x:v>0</x:v>
      </x:c>
      <x:c r="V31" s="2">
        <x:v>0</x:v>
      </x:c>
      <x:c r="W31" s="2">
        <x:v>0</x:v>
      </x:c>
      <x:c r="X31" s="2">
        <x:v>0</x:v>
      </x:c>
      <x:c r="Y31" s="2">
        <x:v>0</x:v>
      </x:c>
      <x:c r="Z31" s="2">
        <x:v>0</x:v>
      </x:c>
      <x:c r="AB31" s="2">
        <x:f t="shared" si="9"/>
        <x:v>31</x:v>
      </x:c>
      <x:c r="AC31" s="2">
        <x:f t="shared" si="12"/>
        <x:v>-23</x:v>
      </x:c>
      <x:c r="AD31" s="2">
        <x:f t="shared" si="4"/>
        <x:v>62</x:v>
      </x:c>
      <x:c r="AE31" s="2">
        <x:f t="shared" si="5"/>
        <x:v>61</x:v>
      </x:c>
      <x:c r="AF31" s="2">
        <x:f t="shared" si="6"/>
        <x:v>505</x:v>
      </x:c>
      <x:c r="AG31" s="2">
        <x:f t="shared" si="10"/>
        <x:v>0</x:v>
      </x:c>
      <x:c r="AH31" s="2">
        <x:f t="shared" si="33"/>
        <x:v>0</x:v>
      </x:c>
      <x:c r="AI31" s="2">
        <x:f t="shared" si="34"/>
        <x:v>31</x:v>
      </x:c>
      <x:c r="AJ31" s="2">
        <x:f t="shared" si="35"/>
        <x:v>8</x:v>
      </x:c>
      <x:c r="AK31" s="2">
        <x:f t="shared" si="36"/>
        <x:v>70</x:v>
      </x:c>
    </x:row>
    <x:row r="32">
      <x:c r="B32" s="2" t="s">
        <x:v>58</x:v>
      </x:c>
      <x:c r="C32" s="2" t="n">
        <x:f t="shared" ref="C32:R32" si="45">C30-C31</x:f>
        <x:v>3318</x:v>
      </x:c>
      <x:c r="D32" s="2">
        <x:f t="shared" si="45"/>
        <x:v>2259</x:v>
      </x:c>
      <x:c r="E32" s="2">
        <x:f t="shared" si="45"/>
        <x:v>3292</x:v>
      </x:c>
      <x:c r="F32" s="2">
        <x:f t="shared" si="45"/>
        <x:v>3687</x:v>
      </x:c>
      <x:c r="G32" s="2">
        <x:f t="shared" si="45"/>
        <x:v>2513</x:v>
      </x:c>
      <x:c r="H32" s="2">
        <x:f t="shared" si="45"/>
        <x:v>2703</x:v>
      </x:c>
      <x:c r="I32" s="2">
        <x:f t="shared" si="45"/>
        <x:v>1853</x:v>
      </x:c>
      <x:c r="J32" s="2">
        <x:f t="shared" si="45"/>
        <x:v>7928</x:v>
      </x:c>
      <x:c r="K32" s="2">
        <x:f t="shared" si="45"/>
        <x:v>1129</x:v>
      </x:c>
      <x:c r="L32" s="2">
        <x:f t="shared" si="45"/>
        <x:v>1478</x:v>
      </x:c>
      <x:c r="M32" s="2">
        <x:f t="shared" si="45"/>
        <x:v>2173</x:v>
      </x:c>
      <x:c r="N32" s="2">
        <x:f t="shared" si="45"/>
        <x:v>2311</x:v>
      </x:c>
      <x:c r="O32" s="2">
        <x:f t="shared" si="45"/>
        <x:v>409</x:v>
      </x:c>
      <x:c r="P32" s="2">
        <x:f t="shared" si="45"/>
        <x:v>1172</x:v>
      </x:c>
      <x:c r="Q32" s="2">
        <x:f t="shared" si="45"/>
        <x:v>1373</x:v>
      </x:c>
      <x:c r="R32" s="2">
        <x:f t="shared" si="45"/>
        <x:v>840</x:v>
      </x:c>
      <x:c r="S32" s="2">
        <x:v>477</x:v>
      </x:c>
      <x:c r="T32" s="2" t="n">
        <x:f>T30-T31</x:f>
        <x:v>1114</x:v>
      </x:c>
      <x:c r="U32" s="2" t="n">
        <x:f>U30-U31</x:f>
        <x:v>1420.2307949455649</x:v>
      </x:c>
      <x:c r="V32" s="2" t="n">
        <x:f t="shared" ref="V32:Z32" si="46">V30-V31</x:f>
        <x:v>1296.6390945075568</x:v>
      </x:c>
      <x:c r="W32" s="2">
        <x:f t="shared" si="46"/>
        <x:v>1102.1402378374366</x:v>
      </x:c>
      <x:c r="X32" s="2">
        <x:f t="shared" si="46"/>
        <x:v>1290.362494350295</x:v>
      </x:c>
      <x:c r="Y32" s="2">
        <x:f t="shared" si="46"/>
        <x:v>1415.9527688453472</x:v>
      </x:c>
      <x:c r="Z32" s="2">
        <x:f t="shared" si="46"/>
        <x:v>1396.7100915977269</x:v>
      </x:c>
      <x:c r="AB32" s="2">
        <x:f t="shared" si="9"/>
        <x:v>12556</x:v>
      </x:c>
      <x:c r="AC32" s="2">
        <x:f t="shared" si="12"/>
        <x:v>14997</x:v>
      </x:c>
      <x:c r="AD32" s="2" t="n">
        <x:f>SUM(K32:N32)</x:f>
        <x:v>7091</x:v>
      </x:c>
      <x:c r="AE32" s="2" t="n">
        <x:f>SUM(O32:R32)</x:f>
        <x:v>3794</x:v>
      </x:c>
      <x:c r="AF32" s="2">
        <x:f t="shared" si="6"/>
        <x:v>4307.8698894531217</x:v>
      </x:c>
      <x:c r="AG32" s="2">
        <x:f t="shared" si="10"/>
        <x:v>5205.1655926308058</x:v>
      </x:c>
      <x:c r="AH32" s="2">
        <x:f t="shared" si="33"/>
        <x:v>4103.0253547933689</x:v>
      </x:c>
      <x:c r="AI32" s="2">
        <x:f t="shared" si="34"/>
        <x:v>15368.662860443073</x:v>
      </x:c>
      <x:c r="AJ32" s="2">
        <x:f t="shared" si="35"/>
        <x:v>28949.710091597728</x:v>
      </x:c>
      <x:c r="AK32" s="2">
        <x:f t="shared" si="36"/>
        <x:v>34644</x:v>
      </x:c>
    </x:row>
    <x:row r="33">
      <x:c r="B33" s="8" t="s">
        <x:v>59</x:v>
      </x:c>
      <x:c r="C33" s="2" t="n">
        <x:f t="shared" ref="C33:T33" si="47">C32/C34</x:f>
        <x:v>1.06963249516441</x:v>
      </x:c>
      <x:c r="D33" s="2" t="n">
        <x:f>D32/D34</x:f>
        <x:v>0.7261330761812922</x:v>
      </x:c>
      <x:c r="E33" s="2">
        <x:f t="shared" si="47"/>
        <x:v>1.0464081373172283</x:v>
      </x:c>
      <x:c r="F33" s="2">
        <x:f t="shared" si="47"/>
        <x:v>1.1719643992371265</x:v>
      </x:c>
      <x:c r="G33" s="2">
        <x:f t="shared" si="47"/>
        <x:v>0.79374605180037905</x:v>
      </x:c>
      <x:c r="H33" s="2">
        <x:f t="shared" si="47"/>
        <x:v>0.85375868603916616</x:v>
      </x:c>
      <x:c r="I33" s="2">
        <x:f t="shared" si="47"/>
        <x:v>0.58343828715365242</x:v>
      </x:c>
      <x:c r="J33" s="2">
        <x:f t="shared" si="47"/>
        <x:v>2.4962216624685141</x:v>
      </x:c>
      <x:c r="K33" s="2">
        <x:f t="shared" si="47"/>
        <x:v>0.35436283741368485</x:v>
      </x:c>
      <x:c r="L33" s="2">
        <x:f t="shared" si="47"/>
        <x:v>0.46317768724537761</x:v>
      </x:c>
      <x:c r="M33" s="2">
        <x:f t="shared" si="47"/>
        <x:v>0.67948717948717952</x:v>
      </x:c>
      <x:c r="N33" s="2">
        <x:f t="shared" si="47"/>
        <x:v>0.72263914946841779</x:v>
      </x:c>
      <x:c r="O33" s="2">
        <x:f t="shared" si="47"/>
        <x:v>0.12709757613424488</x:v>
      </x:c>
      <x:c r="P33" s="2">
        <x:f t="shared" si="47"/>
        <x:v>0.36363636363636365</x:v>
      </x:c>
      <x:c r="Q33" s="2">
        <x:f t="shared" si="47"/>
        <x:v>0.42933083176985615</x:v>
      </x:c>
      <x:c r="R33" s="2">
        <x:f t="shared" si="47"/>
        <x:v>0.26266416510318952</x:v>
      </x:c>
      <x:c r="S33" s="2">
        <x:f t="shared" si="47"/>
        <x:v>0.14749536178107606</x:v>
      </x:c>
      <x:c r="T33" s="2">
        <x:f t="shared" si="47"/>
        <x:v>0.34414581402533212</x:v>
      </x:c>
      <x:c r="U33" s="2" t="n">
        <x:f>U32/U34</x:f>
        <x:v>0.43874908710088506</x:v>
      </x:c>
      <x:c r="V33" s="2" t="n">
        <x:f t="shared" ref="V33:Z33" si="48">V32/V34</x:f>
        <x:v>0.400568147824392</x:v>
      </x:c>
      <x:c r="W33" s="2">
        <x:f t="shared" si="48"/>
        <x:v>0.34048200118549171</x:v>
      </x:c>
      <x:c r="X33" s="2">
        <x:f t="shared" si="48"/>
        <x:v>0.39862913016691226</x:v>
      </x:c>
      <x:c r="Y33" s="2">
        <x:f t="shared" si="48"/>
        <x:v>0.43742748496921446</x:v>
      </x:c>
      <x:c r="Z33" s="2">
        <x:f t="shared" si="48"/>
        <x:v>0.43148288279200708</x:v>
      </x:c>
      <x:c r="AB33" s="2" t="n">
        <x:f t="shared" ref="AB33:AG33" si="49">AB32/AB34</x:f>
        <x:v>4.016313474610156</x:v>
      </x:c>
      <x:c r="AC33" s="2">
        <x:f t="shared" si="49"/>
        <x:v>4.7294228949858086</x:v>
      </x:c>
      <x:c r="AD33" s="2">
        <x:f t="shared" si="49"/>
        <x:v>2.2206216237375713</x:v>
      </x:c>
      <x:c r="AE33" s="2">
        <x:f t="shared" si="49"/>
        <x:v>1.1822076809223339</x:v>
      </x:c>
      <x:c r="AF33" s="2">
        <x:f t="shared" si="49"/>
        <x:v>1.3308217143815637</x:v>
      </x:c>
      <x:c r="AG33" s="2">
        <x:f t="shared" si="49"/>
        <x:v>1.6080214991136255</x:v>
      </x:c>
      <x:c r="AH33" s="2" t="n">
        <x:f t="shared" ref="AH33:AK33" si="50">AH32/AH34</x:f>
        <x:v>1.2675394979281338</x:v>
      </x:c>
      <x:c r="AI33" s="2">
        <x:f t="shared" si="50"/>
        <x:v>4.7478105840108356</x:v>
      </x:c>
      <x:c r="AJ33" s="2">
        <x:f t="shared" si="50"/>
        <x:v>8.9433766115532052</x:v>
      </x:c>
      <x:c r="AK33" s="2">
        <x:f t="shared" si="50"/>
        <x:v>10.702502316960148</x:v>
      </x:c>
    </x:row>
    <x:row r="34">
      <x:c r="B34" s="2" t="s">
        <x:v>1</x:v>
      </x:c>
      <x:c r="C34" s="2" t="n">
        <x:f>3*1034</x:f>
        <x:v>3102</x:v>
      </x:c>
      <x:c r="D34" s="2" t="n">
        <x:f>1037*3</x:f>
        <x:v>3111</x:v>
      </x:c>
      <x:c r="E34" s="2">
        <x:v>3146</x:v>
      </x:c>
      <x:c r="F34" s="2">
        <x:v>3146</x:v>
      </x:c>
      <x:c r="G34" s="2">
        <x:v>3166</x:v>
      </x:c>
      <x:c r="H34" s="2">
        <x:v>3166</x:v>
      </x:c>
      <x:c r="I34" s="2">
        <x:v>3176</x:v>
      </x:c>
      <x:c r="J34" s="2">
        <x:v>3176</x:v>
      </x:c>
      <x:c r="K34" s="2">
        <x:v>3186</x:v>
      </x:c>
      <x:c r="L34" s="2">
        <x:v>3191</x:v>
      </x:c>
      <x:c r="M34" s="2">
        <x:v>3198</x:v>
      </x:c>
      <x:c r="N34" s="2">
        <x:v>3198</x:v>
      </x:c>
      <x:c r="O34" s="2">
        <x:v>3218</x:v>
      </x:c>
      <x:c r="P34" s="2">
        <x:v>3223</x:v>
      </x:c>
      <x:c r="Q34" s="2">
        <x:v>3198</x:v>
      </x:c>
      <x:c r="R34" s="2">
        <x:v>3198</x:v>
      </x:c>
      <x:c r="S34" s="2">
        <x:v>3234</x:v>
      </x:c>
      <x:c r="T34" s="2">
        <x:v>3237</x:v>
      </x:c>
      <x:c r="U34" s="2">
        <x:v>3237</x:v>
      </x:c>
      <x:c r="V34" s="2">
        <x:v>3237</x:v>
      </x:c>
      <x:c r="W34" s="2">
        <x:v>3237</x:v>
      </x:c>
      <x:c r="X34" s="2">
        <x:v>3237</x:v>
      </x:c>
      <x:c r="Y34" s="2">
        <x:v>3237</x:v>
      </x:c>
      <x:c r="Z34" s="2">
        <x:v>3237</x:v>
      </x:c>
      <x:c r="AB34" s="2" t="n">
        <x:f t="shared" ref="AB34:AB36" si="51">AVERAGE(C34:F34)</x:f>
        <x:v>3126.25</x:v>
      </x:c>
      <x:c r="AC34" s="2" t="n">
        <x:f t="shared" ref="AC34:AC36" si="52">AVERAGE(G34:J34)</x:f>
        <x:v>3171</x:v>
      </x:c>
      <x:c r="AD34" s="2" t="n">
        <x:f>AVERAGE(K34:N34)</x:f>
        <x:v>3193.25</x:v>
      </x:c>
      <x:c r="AE34" s="2" t="n">
        <x:f t="shared" ref="AE34:AE36" si="53">AVERAGE(O34:R34)</x:f>
        <x:v>3209.25</x:v>
      </x:c>
      <x:c r="AF34" s="2">
        <x:v>3237</x:v>
      </x:c>
      <x:c r="AG34" s="2">
        <x:v>3237</x:v>
      </x:c>
      <x:c r="AH34" s="2">
        <x:v>3237</x:v>
      </x:c>
      <x:c r="AI34" s="2">
        <x:v>3237</x:v>
      </x:c>
      <x:c r="AJ34" s="2">
        <x:v>3237</x:v>
      </x:c>
      <x:c r="AK34" s="2">
        <x:v>3237</x:v>
      </x:c>
    </x:row>
    <x:row r="35">
      <x:c r="B35" s="8" t="s">
        <x:v>60</x:v>
      </x:c>
      <x:c r="C35" s="2" t="n">
        <x:f t="shared" ref="C35:T35" si="54">C32/C36</x:f>
        <x:v>0.9559204840103717</x:v>
      </x:c>
      <x:c r="D35" s="2">
        <x:f t="shared" si="54"/>
        <x:v>0.65194805194805194</x:v>
      </x:c>
      <x:c r="E35" s="2">
        <x:f t="shared" si="54"/>
        <x:v>0.94925028835063441</x:v>
      </x:c>
      <x:c r="F35" s="2">
        <x:f t="shared" si="54"/>
        <x:v>1.0631487889273357</x:v>
      </x:c>
      <x:c r="G35" s="2">
        <x:f t="shared" si="54"/>
        <x:v>0.7246251441753172</x:v>
      </x:c>
      <x:c r="H35" s="2">
        <x:f t="shared" si="54"/>
        <x:v>0.77941176470588236</x:v>
      </x:c>
      <x:c r="I35" s="2">
        <x:f t="shared" si="54"/>
        <x:v>0.53048955052963065</x:v>
      </x:c>
      <x:c r="J35" s="2">
        <x:f t="shared" si="54"/>
        <x:v>2.2696822215860291</x:v>
      </x:c>
      <x:c r="K35" s="2">
        <x:f t="shared" si="54"/>
        <x:v>0.32405281285878301</x:v>
      </x:c>
      <x:c r="L35" s="2">
        <x:f t="shared" si="54"/>
        <x:v>0.4245906348750359</x:v>
      </x:c>
      <x:c r="M35" s="2">
        <x:f t="shared" si="54"/>
        <x:v>0.62138976265370316</x:v>
      </x:c>
      <x:c r="N35" s="2">
        <x:f t="shared" si="54"/>
        <x:v>0.66085215899342298</x:v>
      </x:c>
      <x:c r="O35" s="2">
        <x:f t="shared" si="54"/>
        <x:v>0.11616018176654359</x:v>
      </x:c>
      <x:c r="P35" s="2">
        <x:f t="shared" si="54"/>
        <x:v>0.33126059920859241</x:v>
      </x:c>
      <x:c r="Q35" s="2">
        <x:f t="shared" si="54"/>
        <x:v>0.39262224764083498</x:v>
      </x:c>
      <x:c r="R35" s="2">
        <x:f t="shared" si="54"/>
        <x:v>0.24020589076351159</x:v>
      </x:c>
      <x:c r="S35" s="2">
        <x:f t="shared" si="54"/>
        <x:v>8.6132177681473451E-2</x:v>
      </x:c>
      <x:c r="T35" s="2">
        <x:f t="shared" si="54"/>
        <x:v>0.31468926553672316</x:v>
      </x:c>
      <x:c r="U35" s="2" t="n">
        <x:f>U32/U36</x:f>
        <x:v>0.40119513981513133</x:v>
      </x:c>
      <x:c r="V35" s="2" t="n">
        <x:f t="shared" ref="V35:Z35" si="55">V32/V36</x:f>
        <x:v>0.36628223008688043</x:v>
      </x:c>
      <x:c r="W35" s="2">
        <x:f t="shared" si="55"/>
        <x:v>0.311339050236564</x:v>
      </x:c>
      <x:c r="X35" s="2">
        <x:f t="shared" si="55"/>
        <x:v>0.36450917919499859</x:v>
      </x:c>
      <x:c r="Y35" s="2">
        <x:f t="shared" si="55"/>
        <x:v>0.39998665786591731</x:v>
      </x:c>
      <x:c r="Z35" s="2">
        <x:f t="shared" si="55"/>
        <x:v>0.39455087333269123</x:v>
      </x:c>
      <x:c r="AB35" s="2" t="n">
        <x:f t="shared" ref="AB35:AG35" si="56">AB32/AB36</x:f>
        <x:v>3.6205305651672433</x:v>
      </x:c>
      <x:c r="AC35" s="2">
        <x:f t="shared" si="56"/>
        <x:v>4.308863669013073</x:v>
      </x:c>
      <x:c r="AD35" s="2">
        <x:f t="shared" si="56"/>
        <x:v>2.0319507128017764</x:v>
      </x:c>
      <x:c r="AE35" s="2">
        <x:f t="shared" si="56"/>
        <x:v>1.0799117626129653</x:v>
      </x:c>
      <x:c r="AF35" s="2">
        <x:f t="shared" si="56"/>
        <x:v>1.2169123981505994</x:v>
      </x:c>
      <x:c r="AG35" s="2">
        <x:f t="shared" si="56"/>
        <x:v>1.4703857606301711</x:v>
      </x:c>
      <x:c r="AH35" s="2" t="n">
        <x:f t="shared" ref="AH35:AJ35" si="57">AH32/AH36</x:f>
        <x:v>1.159046710393607</x:v>
      </x:c>
      <x:c r="AI35" s="2">
        <x:f t="shared" si="57"/>
        <x:v>4.34143018656584</x:v>
      </x:c>
      <x:c r="AJ35" s="2">
        <x:f t="shared" si="57"/>
        <x:v>8.1778842066660253</x:v>
      </x:c>
      <x:c r="AK35" s="2" t="n">
        <x:f>AK32/AK36</x:f>
        <x:v>9.786440677966102</x:v>
      </x:c>
    </x:row>
    <x:row r="36">
      <x:c r="B36" s="2" t="s">
        <x:v>61</x:v>
      </x:c>
      <x:c r="C36" s="2" t="n">
        <x:f>1157*3</x:f>
        <x:v>3471</x:v>
      </x:c>
      <x:c r="D36" s="2" t="n">
        <x:f>3*1155</x:f>
        <x:v>3465</x:v>
      </x:c>
      <x:c r="E36" s="2">
        <x:v>3468</x:v>
      </x:c>
      <x:c r="F36" s="2">
        <x:v>3468</x:v>
      </x:c>
      <x:c r="G36" s="2">
        <x:v>3468</x:v>
      </x:c>
      <x:c r="H36" s="2">
        <x:v>3468</x:v>
      </x:c>
      <x:c r="I36" s="2">
        <x:v>3493</x:v>
      </x:c>
      <x:c r="J36" s="2">
        <x:v>3493</x:v>
      </x:c>
      <x:c r="K36" s="2">
        <x:v>3484</x:v>
      </x:c>
      <x:c r="L36" s="2">
        <x:v>3481</x:v>
      </x:c>
      <x:c r="M36" s="2">
        <x:v>3497</x:v>
      </x:c>
      <x:c r="N36" s="2">
        <x:v>3497</x:v>
      </x:c>
      <x:c r="O36" s="2">
        <x:v>3521</x:v>
      </x:c>
      <x:c r="P36" s="2">
        <x:v>3538</x:v>
      </x:c>
      <x:c r="Q36" s="2">
        <x:v>3497</x:v>
      </x:c>
      <x:c r="R36" s="2">
        <x:v>3497</x:v>
      </x:c>
      <x:c r="S36" s="2">
        <x:v>5538</x:v>
      </x:c>
      <x:c r="T36" s="2">
        <x:v>3540</x:v>
      </x:c>
      <x:c r="U36" s="2">
        <x:v>3540</x:v>
      </x:c>
      <x:c r="V36" s="2">
        <x:v>3540</x:v>
      </x:c>
      <x:c r="W36" s="2">
        <x:v>3540</x:v>
      </x:c>
      <x:c r="X36" s="2">
        <x:v>3540</x:v>
      </x:c>
      <x:c r="Y36" s="2">
        <x:v>3540</x:v>
      </x:c>
      <x:c r="Z36" s="2">
        <x:v>3540</x:v>
      </x:c>
      <x:c r="AB36" s="2">
        <x:f t="shared" si="51"/>
        <x:v>3468</x:v>
      </x:c>
      <x:c r="AC36" s="2">
        <x:f t="shared" si="52"/>
        <x:v>3480.5</x:v>
      </x:c>
      <x:c r="AD36" s="2" t="n">
        <x:f>AVERAGE(K36:N36)</x:f>
        <x:v>3489.75</x:v>
      </x:c>
      <x:c r="AE36" s="2">
        <x:f t="shared" si="53"/>
        <x:v>3513.25</x:v>
      </x:c>
      <x:c r="AF36" s="2">
        <x:v>3540</x:v>
      </x:c>
      <x:c r="AG36" s="2">
        <x:v>3540</x:v>
      </x:c>
      <x:c r="AH36" s="2">
        <x:v>3540</x:v>
      </x:c>
      <x:c r="AI36" s="2">
        <x:v>3540</x:v>
      </x:c>
      <x:c r="AJ36" s="2">
        <x:v>3540</x:v>
      </x:c>
      <x:c r="AK36" s="2">
        <x:v>3540</x:v>
      </x:c>
    </x:row>
    <x:row r="37" ht="12" customHeight="1"/>
    <x:row r="38" ht="12" customHeight="1">
      <x:c r="A38" s="16" t="s">
        <x:v>31</x:v>
      </x:c>
    </x:row>
    <x:row r="39">
      <x:c r="A39" s="16"/>
      <x:c r="B39" s="23" t="str">
        <x:v>Target P/E Multiple</x:v>
      </x:c>
      <x:c r="AF39" s="21" t="n">
        <x:v>40</x:v>
      </x:c>
      <x:c r="AG39" s="21" t="n">
        <x:v>40</x:v>
      </x:c>
      <x:c r="AH39" s="21" t="n">
        <x:v>40</x:v>
      </x:c>
      <x:c r="AI39" s="21" t="n">
        <x:v>40</x:v>
      </x:c>
      <x:c r="AJ39" s="21" t="n">
        <x:v>40</x:v>
      </x:c>
      <x:c r="AK39" s="21" t="n">
        <x:v>40</x:v>
      </x:c>
    </x:row>
    <x:row r="40">
      <x:c r="A40" s="16"/>
      <x:c r="B40" s="23" t="str">
        <x:v>Implied Price Per Share</x:v>
      </x:c>
      <x:c r="AF40" s="22" t="n">
        <x:f>AF35*AF39</x:f>
        <x:v>48.676495926023975</x:v>
      </x:c>
      <x:c r="AG40" s="22" t="n">
        <x:f>AG35*AG39</x:f>
        <x:v>58.81543042520684</x:v>
      </x:c>
      <x:c r="AH40" s="22" t="n">
        <x:f>AH35*AH39</x:f>
        <x:v>46.36186841574428</x:v>
      </x:c>
      <x:c r="AI40" s="22" t="n">
        <x:f>AI35*AI39</x:f>
        <x:v>173.6572074626336</x:v>
      </x:c>
      <x:c r="AJ40" s="22" t="n">
        <x:f>AJ35*AJ39</x:f>
        <x:v>327.115368266641</x:v>
      </x:c>
      <x:c r="AK40" s="22" t="n">
        <x:f>AK35*AK39</x:f>
        <x:v>391.45762711864404</x:v>
      </x:c>
    </x:row>
    <x:row r="41" ht="35.099998474121094" customHeight="1">
      <x:c r="B41" s="9" t="s">
        <x:v>62</x:v>
      </x:c>
      <x:c r="C41" s="2" t="n">
        <x:f>(C8/C4)*1000000</x:f>
        <x:v>50037.413561771085</x:v>
      </x:c>
      <x:c r="D41" s="2" t="n">
        <x:f t="shared" ref="D41:T41" si="58">(D8/D4)*1000000</x:f>
        <x:v>53672.03910559689</x:v>
      </x:c>
      <x:c r="E41" s="2">
        <x:f t="shared" si="58"/>
        <x:v>51726.143733821948</x:v>
      </x:c>
      <x:c r="F41" s="2">
        <x:f t="shared" si="58"/>
        <x:v>49943.49557587631</x:v>
      </x:c>
      <x:c r="G41" s="2">
        <x:f t="shared" si="58"/>
        <x:v>44642.033697901272</x:v>
      </x:c>
      <x:c r="H41" s="2">
        <x:f t="shared" si="58"/>
        <x:v>43804.436435405674</x:v>
      </x:c>
      <x:c r="I41" s="2">
        <x:f t="shared" si="58"/>
        <x:v>42711.448332295164</x:v>
      </x:c>
      <x:c r="J41" s="2">
        <x:f t="shared" si="58"/>
        <x:v>42579.364178432923</x:v>
      </x:c>
      <x:c r="K41" s="2">
        <x:f t="shared" si="58"/>
        <x:v>42553.191489361699</x:v>
      </x:c>
      <x:c r="L41" s="2">
        <x:f t="shared" si="58"/>
        <x:v>41738.370469145593</x:v>
      </x:c>
      <x:c r="M41" s="2">
        <x:f t="shared" si="58"/>
        <x:v>40681.371384130136</x:v>
      </x:c>
      <x:c r="N41" s="2">
        <x:f t="shared" si="58"/>
        <x:v>37651.59311499889</x:v>
      </x:c>
      <x:c r="O41" s="2">
        <x:f t="shared" si="58"/>
        <x:v>38389.454706383789</x:v>
      </x:c>
      <x:c r="P41" s="2">
        <x:f t="shared" si="58"/>
        <x:v>41098.921696752594</x:v>
      </x:c>
      <x:c r="Q41" s="2">
        <x:f t="shared" si="58"/>
        <x:v>40955.624533543625</x:v>
      </x:c>
      <x:c r="R41" s="2">
        <x:f t="shared" si="58"/>
        <x:v>40050.020682547998</x:v>
      </x:c>
      <x:c r="S41" s="2">
        <x:f t="shared" si="58"/>
        <x:v>43217.893822463913</x:v>
      </x:c>
      <x:c r="T41" s="2">
        <x:f t="shared" si="58"/>
        <x:v>41668.228756618053</x:v>
      </x:c>
      <x:c r="U41" s="2" t="n">
        <x:f t="shared" ref="U41:Z41" si="59">Q41</x:f>
        <x:v>40955.624533543625</x:v>
      </x:c>
      <x:c r="V41" s="2">
        <x:f t="shared" si="59"/>
        <x:v>40050.020682547998</x:v>
      </x:c>
      <x:c r="W41" s="2">
        <x:f t="shared" si="59"/>
        <x:v>43217.893822463913</x:v>
      </x:c>
      <x:c r="X41" s="2">
        <x:f t="shared" si="59"/>
        <x:v>41668.228756618053</x:v>
      </x:c>
      <x:c r="Y41" s="2">
        <x:f t="shared" si="59"/>
        <x:v>40955.624533543625</x:v>
      </x:c>
      <x:c r="Z41" s="2">
        <x:f t="shared" si="59"/>
        <x:v>40050.020682547998</x:v>
      </x:c>
      <x:c r="AB41" s="10" t="n">
        <x:f>AB8/SUM(C4:F4)*1000000</x:f>
        <x:v>51154.96353848343</x:v>
      </x:c>
      <x:c r="AC41" s="10" t="n">
        <x:f>AC8/SUM(G4:J4)*1000000</x:f>
        <x:v>43409.16995147024</x:v>
      </x:c>
      <x:c r="AD41" s="10" t="n">
        <x:f>AD8/SUM(K4:N4)*1000000</x:f>
        <x:v>40509.13635281401</x:v>
      </x:c>
      <x:c r="AE41" s="10" t="n">
        <x:f>AE8/SUM(O4:R4)*1000000</x:f>
        <x:v>40229.71293828299</x:v>
      </x:c>
      <x:c r="AF41" s="10" t="n">
        <x:f>AF8/SUM(S4:V4)*1000000</x:f>
        <x:v>41396.65521321947</x:v>
      </x:c>
      <x:c r="AG41" s="10" t="n">
        <x:f>AG8/SUM(W4:Z4)*1000000</x:f>
        <x:v>41396.65521321947</x:v>
      </x:c>
      <x:c r="AH41" s="10" t="n">
        <x:f t="shared" ref="AH41:AK42" si="60">AG41</x:f>
        <x:v>41396.65521321947</x:v>
      </x:c>
      <x:c r="AI41" s="10">
        <x:f t="shared" si="60"/>
        <x:v>41396.65521321947</x:v>
      </x:c>
      <x:c r="AJ41" s="10">
        <x:f t="shared" si="60"/>
        <x:v>41396.65521321947</x:v>
      </x:c>
      <x:c r="AK41" s="10">
        <x:f t="shared" si="60"/>
        <x:v>41396.65521321947</x:v>
      </x:c>
    </x:row>
    <x:row r="42">
      <x:c r="B42" s="2" t="s">
        <x:v>63</x:v>
      </x:c>
      <x:c r="C42" s="2" t="n">
        <x:f>(C11/C5)*1000000</x:f>
        <x:v>728132387.7068559</x:v>
      </x:c>
      <x:c r="D42" s="2" t="n">
        <x:f t="shared" ref="D42:T42" si="61">(D11/D5)*1000000</x:f>
        <x:v>764342453.662842</x:v>
      </x:c>
      <x:c r="E42" s="2">
        <x:f t="shared" si="61"/>
        <x:v>531904761.90476191</x:v>
      </x:c>
      <x:c r="F42" s="2">
        <x:f t="shared" si="61"/>
        <x:v>532087733.54995936</x:v>
      </x:c>
      <x:c r="G42" s="2">
        <x:f t="shared" si="61"/>
        <x:v>393160195.42298794</x:v>
      </x:c>
      <x:c r="H42" s="2">
        <x:f t="shared" si="61"/>
        <x:v>413085135.50506431</x:v>
      </x:c>
      <x:c r="I42" s="2">
        <x:f t="shared" si="61"/>
        <x:v>391708542.71356785</x:v>
      </x:c>
      <x:c r="J42" s="2">
        <x:f t="shared" si="61"/>
        <x:v>449094316.05246723</x:v>
      </x:c>
      <x:c r="K42" s="2">
        <x:f t="shared" si="61"/>
        <x:v>403404885.27017027</x:v>
      </x:c>
      <x:c r="L42" s="2">
        <x:f t="shared" si="61"/>
        <x:v>320638297.87234038</x:v>
      </x:c>
      <x:c r="M42" s="2">
        <x:f t="shared" si="61"/>
        <x:v>344347826.0869565</x:v>
      </x:c>
      <x:c r="N42" s="2">
        <x:f t="shared" si="61"/>
        <x:v>278272727.27272725</x:v>
      </x:c>
      <x:c r="O42" s="2">
        <x:f t="shared" si="61"/>
        <x:v>262500000</x:v>
      </x:c>
      <x:c r="P42" s="2">
        <x:f t="shared" si="61"/>
        <x:v>290520833.33333337</x:v>
      </x:c>
      <x:c r="Q42" s="2">
        <x:f t="shared" si="61"/>
        <x:v>273200000</x:v>
      </x:c>
      <x:c r="R42" s="2">
        <x:f t="shared" si="61"/>
        <x:v>270211267.6056338</x:v>
      </x:c>
      <x:c r="S42" s="2">
        <x:f t="shared" si="61"/>
        <x:v>273636363.63636363</x:v>
      </x:c>
      <x:c r="T42" s="2">
        <x:f t="shared" si="61"/>
        <x:v>232518518.51851851</x:v>
      </x:c>
      <x:c r="U42" s="2" t="n">
        <x:f>Q42</x:f>
        <x:v>273200000</x:v>
      </x:c>
      <x:c r="V42" s="2" t="n">
        <x:f t="shared" ref="V42:X42" si="62">R42</x:f>
        <x:v>270211267.6056338</x:v>
      </x:c>
      <x:c r="W42" s="2">
        <x:f t="shared" si="62"/>
        <x:v>273636363.63636363</x:v>
      </x:c>
      <x:c r="X42" s="2">
        <x:f t="shared" si="62"/>
        <x:v>232518518.51851851</x:v>
      </x:c>
      <x:c r="Y42" s="2" t="n">
        <x:f>U42</x:f>
        <x:v>273200000</x:v>
      </x:c>
      <x:c r="Z42" s="2" t="n">
        <x:f>V42</x:f>
        <x:v>270211267.6056338</x:v>
      </x:c>
      <x:c r="AB42" s="10" t="n">
        <x:f>AB11/SUM(C5:F5)*1000000</x:f>
        <x:v>597615043.5713193</x:v>
      </x:c>
      <x:c r="AC42" s="10" t="n">
        <x:f>AC11/SUM(G5:J5)*1000000</x:f>
        <x:v>409875033.95816356</x:v>
      </x:c>
      <x:c r="AD42" s="10" t="n">
        <x:f>AD11/SUM(K5:N5)*1000000</x:f>
        <x:v>321691704.1431442</x:v>
      </x:c>
      <x:c r="AE42" s="10" t="n">
        <x:f>AE11/SUM(O5:R5)*1000000</x:f>
        <x:v>273468950.74946463</x:v>
      </x:c>
      <x:c r="AF42" s="10" t="n">
        <x:f>AF11/SUM(S5:V5)*1000000</x:f>
        <x:v>261990378.26620135</x:v>
      </x:c>
      <x:c r="AG42" s="10" t="n">
        <x:f>AG11/SUM(W5:Z5)*1000000</x:f>
        <x:v>261990378.2662013</x:v>
      </x:c>
      <x:c r="AH42" s="10">
        <x:f t="shared" si="60"/>
        <x:v>261990378.26620129</x:v>
      </x:c>
      <x:c r="AI42" s="10">
        <x:f t="shared" si="60"/>
        <x:v>261990378.26620129</x:v>
      </x:c>
      <x:c r="AJ42" s="10">
        <x:f t="shared" si="60"/>
        <x:v>261990378.26620129</x:v>
      </x:c>
      <x:c r="AK42" s="10">
        <x:f t="shared" si="60"/>
        <x:v>261990378.26620129</x:v>
      </x:c>
    </x:row>
    <x:row r="44">
      <x:c r="A44" s="8" t="s">
        <x:v>64</x:v>
      </x:c>
      <x:c r="B44" s="2" t="s">
        <x:v>65</x:v>
      </x:c>
      <x:c r="C44" s="11" t="n">
        <x:f>(C8-C14)/C8</x:f>
        <x:v>0.29650638133298957</x:v>
      </x:c>
      <x:c r="D44" s="11" t="n">
        <x:f t="shared" ref="D44:T44" si="63">(D8-D14)/D8</x:f>
        <x:v>0.25727871250914414</x:v>
      </x:c>
      <x:c r="E44" s="11">
        <x:f t="shared" si="63"/>
        <x:v>0.26348046106269329</x:v>
      </x:c>
      <x:c r="F44" s="11">
        <x:f t="shared" si="63"/>
        <x:v>0.23753767106368262</x:v>
      </x:c>
      <x:c r="G44" s="11">
        <x:f t="shared" si="63"/>
        <x:v>0.1830702404915775</x:v>
      </x:c>
      <x:c r="H44" s="11">
        <x:f t="shared" si="63"/>
        <x:v>0.17522895342573094</x:v>
      </x:c>
      <x:c r="I44" s="11">
        <x:f t="shared" si="63"/>
        <x:v>0.15746421267893659</x:v>
      </x:c>
      <x:c r="J44" s="11">
        <x:f t="shared" si="63"/>
        <x:v>0.16616577799321378</x:v>
      </x:c>
      <x:c r="K44" s="11">
        <x:f t="shared" si="63"/>
        <x:v>0.15571081409477522</x:v>
      </x:c>
      <x:c r="L44" s="11">
        <x:f t="shared" si="63"/>
        <x:v>0.13858607663248787</x:v>
      </x:c>
      <x:c r="M44" s="11">
        <x:f t="shared" si="63"/>
        <x:v>0.16398491848547608</x:v>
      </x:c>
      <x:c r="N44" s="11">
        <x:f t="shared" si="63"/>
        <x:v>0.12814191542955142</x:v>
      </x:c>
      <x:c r="O44" s="11">
        <x:f t="shared" si="63"/>
        <x:v>0.1132688588007737</x:v>
      </x:c>
      <x:c r="P44" s="11">
        <x:f t="shared" si="63"/>
        <x:v>0.14062203078482297</x:v>
      </x:c>
      <x:c r="Q44" s="11">
        <x:f t="shared" si="63"/>
        <x:v>0.14706026818606022</x:v>
      </x:c>
      <x:c r="R44" s="11" t="n">
        <x:f>(R8-R14)/R8</x:f>
        <x:v>0.17170149253731343</x:v>
      </x:c>
      <x:c r="S44" s="11">
        <x:f t="shared" si="63"/>
        <x:v>0.18464421896206296</x:v>
      </x:c>
      <x:c r="T44" s="11">
        <x:f t="shared" si="63"/>
        <x:v>0.15695291412576226</x:v>
      </x:c>
      <x:c r="U44" s="11" t="n">
        <x:f>AVERAGE(Q44:T44)</x:f>
        <x:v>0.16508972345279974</x:v>
      </x:c>
      <x:c r="V44" s="11" t="n">
        <x:f>U44</x:f>
        <x:v>0.16508972345279974</x:v>
      </x:c>
      <x:c r="W44" s="11" t="n">
        <x:f t="shared" ref="W44:Y44" si="64">V44</x:f>
        <x:v>0.16508972345279974</x:v>
      </x:c>
      <x:c r="X44" s="11">
        <x:f t="shared" si="64"/>
        <x:v>0.16508972345279974</x:v>
      </x:c>
      <x:c r="Y44" s="11">
        <x:f t="shared" si="64"/>
        <x:v>0.16508972345279974</x:v>
      </x:c>
      <x:c r="Z44" s="11" t="n">
        <x:f>Y44</x:f>
        <x:v>0.16508972345279974</x:v>
      </x:c>
      <x:c r="AB44" s="12" t="n">
        <x:f t="shared" ref="AB44:AK44" si="65">(AB8-AB14)/AB8</x:f>
        <x:v>0.2620294599018003</x:v>
      </x:c>
      <x:c r="AC44" s="12">
        <x:f t="shared" si="65"/>
        <x:v>0.17052821969455731</x:v>
      </x:c>
      <x:c r="AD44" s="12">
        <x:f t="shared" si="65"/>
        <x:v>0.14638520971302429</x:v>
      </x:c>
      <x:c r="AE44" s="12">
        <x:f t="shared" si="65"/>
        <x:v>0.14515124352410325</x:v>
      </x:c>
      <x:c r="AF44" s="12">
        <x:f t="shared" si="65"/>
        <x:v>0.16701540953890376</x:v>
      </x:c>
      <x:c r="AG44" s="12">
        <x:f t="shared" si="65"/>
        <x:v>0.16508972345279968</x:v>
      </x:c>
      <x:c r="AH44" s="12">
        <x:f t="shared" si="65"/>
        <x:v>0.37434364797285985</x:v>
      </x:c>
      <x:c r="AI44" s="12">
        <x:f t="shared" si="65"/>
        <x:v>-6.9152494785909525E-3</x:v>
      </x:c>
      <x:c r="AJ44" s="12">
        <x:f t="shared" si="65"/>
        <x:v>-0.53165812093253406</x:v>
      </x:c>
      <x:c r="AK44" s="12">
        <x:f t="shared" si="65"/>
        <x:v>-1.0014469337011405</x:v>
      </x:c>
    </x:row>
    <x:row r="45">
      <x:c r="B45" s="2" t="s">
        <x:v>66</x:v>
      </x:c>
      <x:c r="C45" s="11" t="n">
        <x:f>(C9-C15)/C9</x:f>
        <x:v>0.38922155688622756</x:v>
      </x:c>
      <x:c r="D45" s="11" t="n">
        <x:f t="shared" ref="D45:T45" si="66">(D9-D15)/D9</x:f>
        <x:v>0.3741496598639456</x:v>
      </x:c>
      <x:c r="E45" s="11">
        <x:f t="shared" si="66"/>
        <x:v>0.38647342995169082</x:v>
      </x:c>
      <x:c r="F45" s="11">
        <x:f t="shared" si="66"/>
        <x:v>0.41235392320534225</x:v>
      </x:c>
      <x:c r="G45" s="11">
        <x:f t="shared" si="66"/>
        <x:v>0.40957446808510639</x:v>
      </x:c>
      <x:c r="H45" s="11">
        <x:f t="shared" si="66"/>
        <x:v>0.40388007054673719</x:v>
      </x:c>
      <x:c r="I45" s="11">
        <x:f t="shared" si="66"/>
        <x:v>0.38445807770961143</x:v>
      </x:c>
      <x:c r="J45" s="11">
        <x:f t="shared" si="66"/>
        <x:v>0.40799999999999997</x:v>
      </x:c>
      <x:c r="K45" s="11">
        <x:f t="shared" si="66"/>
        <x:v>0.43487394957983194</x:v>
      </x:c>
      <x:c r="L45" s="11">
        <x:f t="shared" si="66"/>
        <x:v>0.46506550218340609</x:v>
      </x:c>
      <x:c r="M45" s="11">
        <x:f t="shared" si="66"/>
        <x:v>0.4461883408071749</x:v>
      </x:c>
      <x:c r="N45" s="11">
        <x:f t="shared" si="66"/>
        <x:v>0.45861297539149887</x:v>
      </x:c>
      <x:c r="O45" s="11">
        <x:f t="shared" si="66"/>
        <x:v>0.46532438478747201</x:v>
      </x:c>
      <x:c r="P45" s="11">
        <x:f t="shared" si="66"/>
        <x:v>0.48063781321184512</x:v>
      </x:c>
      <x:c r="Q45" s="11">
        <x:f t="shared" si="66"/>
        <x:v>0.47552447552447552</x:v>
      </x:c>
      <x:c r="R45" s="11">
        <x:f t="shared" si="66"/>
        <x:v>0.48110831234256929</x:v>
      </x:c>
      <x:c r="S45" s="11">
        <x:f t="shared" si="66"/>
        <x:v>0.48556430446194226</x:v>
      </x:c>
      <x:c r="T45" s="11">
        <x:f t="shared" si="66"/>
        <x:v>0.48626373626373626</x:v>
      </x:c>
      <x:c r="U45" s="11" t="n">
        <x:f>AVERAGE(Q45:T45)</x:f>
        <x:v>0.48211520714818085</x:v>
      </x:c>
      <x:c r="V45" s="11" t="n">
        <x:f>U45</x:f>
        <x:v>0.48211520714818085</x:v>
      </x:c>
      <x:c r="W45" s="11" t="n">
        <x:f t="shared" ref="W45:Z45" si="67">V45</x:f>
        <x:v>0.48211520714818085</x:v>
      </x:c>
      <x:c r="X45" s="11">
        <x:f t="shared" si="67"/>
        <x:v>0.48211520714818085</x:v>
      </x:c>
      <x:c r="Y45" s="11">
        <x:f t="shared" si="67"/>
        <x:v>0.48211520714818085</x:v>
      </x:c>
      <x:c r="Z45" s="11">
        <x:f t="shared" si="67"/>
        <x:v>0.48211520714818085</x:v>
      </x:c>
      <x:c r="AB45" s="12" t="n">
        <x:f t="shared" ref="AB45:AK45" si="68">(AB9-AB15)/AB9</x:f>
        <x:v>0.3905492730210016</x:v>
      </x:c>
      <x:c r="AC45" s="12">
        <x:f t="shared" si="68"/>
        <x:v>0.40188679245283021</x:v>
      </x:c>
      <x:c r="AD45" s="12">
        <x:f t="shared" si="68"/>
        <x:v>0.45101258894362345</x:v>
      </x:c>
      <x:c r="AE45" s="12">
        <x:f t="shared" si="68"/>
        <x:v>0.47546728971962615</x:v>
      </x:c>
      <x:c r="AF45" s="12">
        <x:f t="shared" si="68"/>
        <x:v>0.48391289694742035</x:v>
      </x:c>
      <x:c r="AG45" s="12">
        <x:f t="shared" si="68"/>
        <x:v>0.4821152071481809</x:v>
      </x:c>
      <x:c r="AH45" s="12">
        <x:f t="shared" si="68"/>
        <x:v>0.62639331727218661</x:v>
      </x:c>
      <x:c r="AI45" s="12">
        <x:f t="shared" si="68"/>
        <x:v>-0.1182113672534657</x:v>
      </x:c>
      <x:c r="AJ45" s="12">
        <x:f t="shared" si="68"/>
        <x:v>-0.64002689265679402</x:v>
      </x:c>
      <x:c r="AK45" s="12">
        <x:f t="shared" si="68"/>
        <x:v>-0.97951327480159944</x:v>
      </x:c>
    </x:row>
    <x:row r="46">
      <x:c r="B46" s="2" t="s">
        <x:v>67</x:v>
      </x:c>
      <x:c r="C46" s="11" t="n">
        <x:f>(C11-C16)/C11</x:f>
        <x:v>-0.11688311688311688</x:v>
      </x:c>
      <x:c r="D46" s="11" t="n">
        <x:f t="shared" ref="D46:T46" si="69">(D11-D16)/D11</x:f>
        <x:v>0.11200923787528869</x:v>
      </x:c>
      <x:c r="E46" s="11">
        <x:f t="shared" si="69"/>
        <x:v>9.3106535362578333E-2</x:v>
      </x:c>
      <x:c r="F46" s="11">
        <x:f t="shared" si="69"/>
        <x:v>0.12137404580152672</x:v>
      </x:c>
      <x:c r="G46" s="11">
        <x:f t="shared" si="69"/>
        <x:v>0.10987573577501634</x:v>
      </x:c>
      <x:c r="H46" s="11">
        <x:f t="shared" si="69"/>
        <x:v>0.18422796554009277</x:v>
      </x:c>
      <x:c r="I46" s="11">
        <x:f t="shared" si="69"/>
        <x:v>0.24438742783835793</x:v>
      </x:c>
      <x:c r="J46" s="11">
        <x:f t="shared" si="69"/>
        <x:v>0.21835883171070933</x:v>
      </x:c>
      <x:c r="K46" s="11">
        <x:f t="shared" si="69"/>
        <x:v>0.24648318042813455</x:v>
      </x:c>
      <x:c r="L46" s="11">
        <x:f t="shared" si="69"/>
        <x:v>0.24552090245520902</x:v>
      </x:c>
      <x:c r="M46" s="11">
        <x:f t="shared" si="69"/>
        <x:v>0.30513468013468015</x:v>
      </x:c>
      <x:c r="N46" s="11">
        <x:f t="shared" si="69"/>
        <x:v>0.25220516171185886</x:v>
      </x:c>
      <x:c r="O46" s="11">
        <x:f t="shared" si="69"/>
        <x:v>0.28754578754578752</x:v>
      </x:c>
      <x:c r="P46" s="11">
        <x:f t="shared" si="69"/>
        <x:v>0.30333452850484044</x:v>
      </x:c>
      <x:c r="Q46" s="11">
        <x:f t="shared" si="69"/>
        <x:v>0.31420204978038069</x:v>
      </x:c>
      <x:c r="R46" s="11">
        <x:f t="shared" si="69"/>
        <x:v>0.28616106333072711</x:v>
      </x:c>
      <x:c r="S46" s="11">
        <x:f t="shared" si="69"/>
        <x:v>0.39534883720930231</x:v>
      </x:c>
      <x:c r="T46" s="11">
        <x:f t="shared" si="69"/>
        <x:v>0.20388658808537752</x:v>
      </x:c>
      <x:c r="U46" s="11" t="n">
        <x:f>AVERAGE(Q46:T46)</x:f>
        <x:v>0.2998996346014469</x:v>
      </x:c>
      <x:c r="V46" s="11" t="n">
        <x:f>U46</x:f>
        <x:v>0.2998996346014469</x:v>
      </x:c>
      <x:c r="W46" s="11" t="n">
        <x:f t="shared" ref="W46:Z46" si="70">V46</x:f>
        <x:v>0.2998996346014469</x:v>
      </x:c>
      <x:c r="X46" s="11">
        <x:f t="shared" si="70"/>
        <x:v>0.29989963460144692</x:v>
      </x:c>
      <x:c r="Y46" s="11">
        <x:f t="shared" si="70"/>
        <x:v>0.29989963460144692</x:v>
      </x:c>
      <x:c r="Z46" s="11">
        <x:f t="shared" si="70"/>
        <x:v>0.29989963460144692</x:v>
      </x:c>
      <x:c r="AB46" s="12" t="n">
        <x:f t="shared" ref="AB46:AK46" si="71">(AB11-AB16)/AB11</x:f>
        <x:v>0.07367613200306984</x:v>
      </x:c>
      <x:c r="AC46" s="12">
        <x:f t="shared" si="71"/>
        <x:v>0.18906379453189726</x:v>
      </x:c>
      <x:c r="AD46" s="12">
        <x:f t="shared" si="71"/>
        <x:v>0.26174895895300415</x:v>
      </x:c>
      <x:c r="AE46" s="12">
        <x:f t="shared" si="71"/>
        <x:v>0.29770573956620466</x:v>
      </x:c>
      <x:c r="AF46" s="12">
        <x:f t="shared" si="71"/>
        <x:v>0.29474774409144994</x:v>
      </x:c>
      <x:c r="AG46" s="12">
        <x:f t="shared" si="71"/>
        <x:v>0.29989963460144686</x:v>
      </x:c>
      <x:c r="AH46" s="12">
        <x:f t="shared" si="71"/>
        <x:v>0.47390772176475554</x:v>
      </x:c>
      <x:c r="AI46" s="12">
        <x:f t="shared" si="71"/>
        <x:v>0.46513255351804661</x:v>
      </x:c>
      <x:c r="AJ46" s="12">
        <x:f t="shared" si="71"/>
        <x:v>0.43226814436355043</x:v>
      </x:c>
      <x:c r="AK46" s="12">
        <x:f t="shared" si="71"/>
        <x:v>0.31736376733852395</x:v>
      </x:c>
    </x:row>
    <x:row r="47">
      <x:c r="B47" s="2" t="s">
        <x:v>68</x:v>
      </x:c>
      <x:c r="C47" s="11"/>
      <x:c r="D47" s="11" t="n">
        <x:f>(D12-D17)/D12</x:f>
        <x:v>0.03819918144611187</x:v>
      </x:c>
      <x:c r="E47" s="11" t="n">
        <x:f t="shared" ref="E47:T47" si="72">(E12-E17)/E12</x:f>
        <x:v>0.04012158054711246</x:v>
      </x:c>
      <x:c r="F47" s="11">
        <x:f t="shared" si="72"/>
        <x:v>5.6437389770723101E-2</x:v>
      </x:c>
      <x:c r="G47" s="11">
        <x:f t="shared" si="72"/>
        <x:v>7.348938486663037E-2</x:v>
      </x:c>
      <x:c r="H47" s="11">
        <x:f t="shared" si="72"/>
        <x:v>7.7209302325581389E-2</x:v>
      </x:c>
      <x:c r="I47" s="11">
        <x:f t="shared" si="72"/>
        <x:v>5.9556786703601108E-2</x:v>
      </x:c>
      <x:c r="J47" s="11">
        <x:f t="shared" si="72"/>
        <x:v>2.7239150507848569E-2</x:v>
      </x:c>
      <x:c r="K47" s="11">
        <x:f t="shared" si="72"/>
        <x:v>3.5402097902097904E-2</x:v>
      </x:c>
      <x:c r="L47" s="11">
        <x:f t="shared" si="72"/>
        <x:v>6.4033742331288349E-2</x:v>
      </x:c>
      <x:c r="M47" s="11">
        <x:f t="shared" si="72"/>
        <x:v>8.8172043010752682E-2</x:v>
      </x:c>
      <x:c r="N47" s="11">
        <x:f t="shared" si="72"/>
        <x:v>4.1783707865168537E-2</x:v>
      </x:c>
      <x:c r="O47" s="11">
        <x:f t="shared" si="72"/>
        <x:v>3.828658074298711E-2</x:v>
      </x:c>
      <x:c r="P47" s="11">
        <x:f t="shared" si="72"/>
        <x:v>5.4497701904136574E-2</x:v>
      </x:c>
      <x:c r="Q47" s="11">
        <x:f t="shared" si="72"/>
        <x:v>0.10532374100719424</x:v>
      </x:c>
      <x:c r="R47" s="11">
        <x:f t="shared" si="72"/>
        <x:v>8.8401067932364283E-2</x:v>
      </x:c>
      <x:c r="S47" s="11">
        <x:f t="shared" si="72"/>
        <x:v>9.2389853137516686E-2</x:v>
      </x:c>
      <x:c r="T47" s="11">
        <x:f t="shared" si="72"/>
        <x:v>0.14145383104125736</x:v>
      </x:c>
      <x:c r="U47" s="11" t="n">
        <x:f>AVERAGE(Q47:T47)*1.5</x:f>
        <x:v>0.1603381849193747</x:v>
      </x:c>
      <x:c r="V47" s="11" t="n">
        <x:f>AVERAGE(R47:U47)</x:f>
        <x:v>0.12064573425762826</x:v>
      </x:c>
      <x:c r="W47" s="11" t="n">
        <x:f t="shared" ref="W47:X47" si="73">AVERAGE(S47:V47)</x:f>
        <x:v>0.12870690083894426</x:v>
      </x:c>
      <x:c r="X47" s="11">
        <x:f t="shared" si="73"/>
        <x:v>0.13778616276430117</x:v>
      </x:c>
      <x:c r="Y47" s="11" t="n">
        <x:f>AVERAGE(U47:X47)</x:f>
        <x:v>0.1368692456950621</x:v>
      </x:c>
      <x:c r="Z47" s="11" t="n">
        <x:f>AVERAGE(V47:Y47)</x:f>
        <x:v>0.13100201088898394</x:v>
      </x:c>
      <x:c r="AB47" s="12" t="n">
        <x:f t="shared" ref="AB47:AK47" si="74">(AB12-AB17)/AB12</x:f>
        <x:v>0.03464127401083566</x:v>
      </x:c>
      <x:c r="AC47" s="12">
        <x:f t="shared" si="74"/>
        <x:v>5.8781103498016588E-2</x:v>
      </x:c>
      <x:c r="AD47" s="12">
        <x:f t="shared" si="74"/>
        <x:v>5.8192519460793624E-2</x:v>
      </x:c>
      <x:c r="AE47" s="12">
        <x:f t="shared" si="74"/>
        <x:v>7.4301675977653636E-2</x:v>
      </x:c>
      <x:c r="AF47" s="12">
        <x:f t="shared" si="74"/>
        <x:v>0.12978984728554935</x:v>
      </x:c>
      <x:c r="AG47" s="12">
        <x:f t="shared" si="74"/>
        <x:v>0.13383738549449542</x:v>
      </x:c>
      <x:c r="AH47" s="12">
        <x:f t="shared" si="74"/>
        <x:v>0.42197422853698519</x:v>
      </x:c>
      <x:c r="AI47" s="12">
        <x:f t="shared" si="74"/>
        <x:v>0.4430702698702837</x:v>
      </x:c>
      <x:c r="AJ47" s="12">
        <x:f t="shared" si="74"/>
        <x:v>0.37935425403948203</x:v>
      </x:c>
      <x:c r="AK47" s="12">
        <x:f t="shared" si="74"/>
        <x:v>0.27471720722802839</x:v>
      </x:c>
    </x:row>
    <x:row r="48">
      <x:c r="B48" s="2" t="s">
        <x:v>69</x:v>
      </x:c>
      <x:c r="C48" s="11" t="n">
        <x:f>C20/C13</x:f>
        <x:v>0.046118575389208785</x:v>
      </x:c>
      <x:c r="D48" s="11" t="n">
        <x:f t="shared" ref="D48:T48" si="75">D20/D13</x:f>
        <x:v>0.039388213062477855</x:v>
      </x:c>
      <x:c r="E48" s="11">
        <x:f t="shared" si="75"/>
        <x:v>3.4166122867530534E-2</x:v>
      </x:c>
      <x:c r="F48" s="11">
        <x:f t="shared" si="75"/>
        <x:v>3.3308660251665435E-2</x:v>
      </x:c>
      <x:c r="G48" s="11">
        <x:f t="shared" si="75"/>
        <x:v>3.3048994813322477E-2</x:v>
      </x:c>
      <x:c r="H48" s="11">
        <x:f t="shared" si="75"/>
        <x:v>3.7830464957676418E-2</x:v>
      </x:c>
      <x:c r="I48" s="11">
        <x:f t="shared" si="75"/>
        <x:v>4.9721627408993579E-2</x:v>
      </x:c>
      <x:c r="J48" s="11">
        <x:f t="shared" si="75"/>
        <x:v>4.3469622918901739E-2</x:v>
      </x:c>
      <x:c r="K48" s="11">
        <x:f t="shared" si="75"/>
        <x:v>5.4035021829961033E-2</x:v>
      </x:c>
      <x:c r="L48" s="11">
        <x:f t="shared" si="75"/>
        <x:v>4.211764705882353E-2</x:v>
      </x:c>
      <x:c r="M48" s="11">
        <x:f t="shared" si="75"/>
        <x:v>4.1259629894368995E-2</x:v>
      </x:c>
      <x:c r="N48" s="11">
        <x:f t="shared" si="75"/>
        <x:v>4.9636285836542574E-2</x:v>
      </x:c>
      <x:c r="O48" s="11">
        <x:f t="shared" si="75"/>
        <x:v>7.2873028187225242E-2</x:v>
      </x:c>
      <x:c r="P48" s="11">
        <x:f t="shared" si="75"/>
        <x:v>7.0634779516358465E-2</x:v>
      </x:c>
      <x:c r="Q48" s="11">
        <x:f t="shared" si="75"/>
        <x:v>5.8017440825769713E-2</x:v>
      </x:c>
      <x:c r="R48" s="11">
        <x:f t="shared" si="75"/>
        <x:v>7.1603550058230589E-2</x:v>
      </x:c>
      <x:c r="S48" s="11">
        <x:f t="shared" si="75"/>
        <x:v>8.6925447804529418E-2</x:v>
      </x:c>
      <x:c r="T48" s="11">
        <x:f t="shared" si="75"/>
        <x:v>8.3970817396231759E-2</x:v>
      </x:c>
      <x:c r="U48" s="11" t="n">
        <x:f>AVERAGE(Q48:T48)</x:f>
        <x:v>0.07512931402119037</x:v>
      </x:c>
      <x:c r="V48" s="11" t="n">
        <x:f>U48</x:f>
        <x:v>0.07512931402119037</x:v>
      </x:c>
      <x:c r="W48" s="11" t="n">
        <x:f t="shared" ref="W48:Z49" si="76">V48</x:f>
        <x:v>0.07512931402119037</x:v>
      </x:c>
      <x:c r="X48" s="11">
        <x:f t="shared" si="76"/>
        <x:v>7.5129314021190371E-2</x:v>
      </x:c>
      <x:c r="Y48" s="11">
        <x:f t="shared" si="76"/>
        <x:v>7.5129314021190371E-2</x:v>
      </x:c>
      <x:c r="Z48" s="11">
        <x:f t="shared" si="76"/>
        <x:v>7.5129314021190371E-2</x:v>
      </x:c>
      <x:c r="AB48" s="12" t="n">
        <x:f t="shared" ref="AB48:AK48" si="77">AB20/AB13</x:f>
        <x:v>0.03774766148633719</x:v>
      </x:c>
      <x:c r="AC48" s="12">
        <x:f t="shared" si="77"/>
        <x:v>4.1013505833238609E-2</x:v>
      </x:c>
      <x:c r="AD48" s="12">
        <x:f t="shared" si="77"/>
        <x:v>4.6473538745009722E-2</x:v>
      </x:c>
      <x:c r="AE48" s="12">
        <x:f t="shared" si="77"/>
        <x:v>6.7607327027112529E-2</x:v>
      </x:c>
      <x:c r="AF48" s="12">
        <x:f t="shared" si="77"/>
        <x:v>7.9998079244639503E-2</x:v>
      </x:c>
      <x:c r="AG48" s="12">
        <x:f t="shared" si="77"/>
        <x:v>7.5129314021190371E-2</x:v>
      </x:c>
      <x:c r="AH48" s="12">
        <x:f t="shared" si="77"/>
        <x:v>7.5129314021190371E-2</x:v>
      </x:c>
      <x:c r="AI48" s="12">
        <x:f t="shared" si="77"/>
        <x:v>5.3187750211223878E-2</x:v>
      </x:c>
      <x:c r="AJ48" s="12">
        <x:f t="shared" si="77"/>
        <x:v>4.4213189082406588E-2</x:v>
      </x:c>
      <x:c r="AK48" s="12">
        <x:f t="shared" si="77"/>
        <x:v>4.1982422759807916E-2</x:v>
      </x:c>
    </x:row>
    <x:row r="49">
      <x:c r="B49" s="2" t="s">
        <x:v>70</x:v>
      </x:c>
      <x:c r="C49" s="11" t="n">
        <x:f>C21/C13</x:f>
        <x:v>0.05288974194924291</x:v>
      </x:c>
      <x:c r="D49" s="11" t="n">
        <x:f t="shared" ref="D49:T49" si="78">D21/D13</x:f>
        <x:v>0.056749734262430615</x:v>
      </x:c>
      <x:c r="E49" s="11">
        <x:f t="shared" si="78"/>
        <x:v>4.4793511699449985E-2</x:v>
      </x:c>
      <x:c r="F49" s="11">
        <x:f t="shared" si="78"/>
        <x:v>4.2437700468788551E-2</x:v>
      </x:c>
      <x:c r="G49" s="11">
        <x:f t="shared" si="78"/>
        <x:v>4.6122851386686099E-2</x:v>
      </x:c>
      <x:c r="H49" s="11">
        <x:f t="shared" si="78"/>
        <x:v>4.7779516187266821E-2</x:v>
      </x:c>
      <x:c r="I49" s="11">
        <x:f t="shared" si="78"/>
        <x:v>5.3661670235546036E-2</x:v>
      </x:c>
      <x:c r="J49" s="11">
        <x:f t="shared" si="78"/>
        <x:v>5.0860253506576074E-2</x:v>
      </x:c>
      <x:c r="K49" s="11">
        <x:f t="shared" si="78"/>
        <x:v>6.4504013896061224E-2</x:v>
      </x:c>
      <x:c r="L49" s="11">
        <x:f t="shared" si="78"/>
        <x:v>5.0078431372549019E-2</x:v>
      </x:c>
      <x:c r="M49" s="11">
        <x:f t="shared" si="78"/>
        <x:v>4.7097132872686839E-2</x:v>
      </x:c>
      <x:c r="N49" s="11">
        <x:f t="shared" si="78"/>
        <x:v>5.1075582526160193E-2</x:v>
      </x:c>
      <x:c r="O49" s="11">
        <x:f t="shared" si="78"/>
        <x:v>6.470131885182312E-2</x:v>
      </x:c>
      <x:c r="P49" s="11">
        <x:f t="shared" si="78"/>
        <x:v>6.0721906116642958E-2</x:v>
      </x:c>
      <x:c r="Q49" s="11">
        <x:f t="shared" si="78"/>
        <x:v>5.5597081331197722E-2</x:v>
      </x:c>
      <x:c r="R49" s="11">
        <x:f t="shared" si="78"/>
        <x:v>6.6463194249226934E-2</x:v>
      </x:c>
      <x:c r="S49" s="11">
        <x:f t="shared" si="78"/>
        <x:v>8.1877875552776161E-2</x:v>
      </x:c>
      <x:c r="T49" s="11">
        <x:f t="shared" si="78"/>
        <x:v>7.0194078481371297E-2</x:v>
      </x:c>
      <x:c r="U49" s="11" t="n">
        <x:f>AVERAGE(Q49:T49)</x:f>
        <x:v>0.06853305740364302</x:v>
      </x:c>
      <x:c r="V49" s="11" t="n">
        <x:f>U49</x:f>
        <x:v>0.06853305740364302</x:v>
      </x:c>
      <x:c r="W49" s="11">
        <x:f t="shared" si="76"/>
        <x:v>6.8533057403643016E-2</x:v>
      </x:c>
      <x:c r="X49" s="11">
        <x:f t="shared" si="76"/>
        <x:v>6.8533057403643016E-2</x:v>
      </x:c>
      <x:c r="Y49" s="11">
        <x:f t="shared" si="76"/>
        <x:v>6.8533057403643016E-2</x:v>
      </x:c>
      <x:c r="Z49" s="11">
        <x:f t="shared" si="76"/>
        <x:v>6.8533057403643016E-2</x:v>
      </x:c>
      <x:c r="AB49" s="12" t="n">
        <x:f t="shared" ref="AB49:AK49" si="79">AB21/AB13</x:f>
        <x:v>0.048439763325231394</x:v>
      </x:c>
      <x:c r="AC49" s="12">
        <x:f t="shared" si="79"/>
        <x:v>4.9600611740878139E-2</x:v>
      </x:c>
      <x:c r="AD49" s="12">
        <x:f t="shared" si="79"/>
        <x:v>5.2717780734977994E-2</x:v>
      </x:c>
      <x:c r="AE49" s="12">
        <x:f t="shared" si="79"/>
        <x:v>6.1522562139475045E-2</x:v>
      </x:c>
      <x:c r="AF49" s="12">
        <x:f t="shared" si="79"/>
        <x:v>7.1808898562598117E-2</x:v>
      </x:c>
      <x:c r="AG49" s="12">
        <x:f t="shared" si="79"/>
        <x:v>6.8533057403643016E-2</x:v>
      </x:c>
      <x:c r="AH49" s="12">
        <x:f t="shared" si="79"/>
        <x:v>6.8533057403643016E-2</x:v>
      </x:c>
      <x:c r="AI49" s="12">
        <x:f t="shared" si="79"/>
        <x:v>5.6739081902885444E-2</x:v>
      </x:c>
      <x:c r="AJ49" s="12">
        <x:f t="shared" si="79"/>
        <x:v>5.1634801016039809E-2</x:v>
      </x:c>
      <x:c r="AK49" s="12">
        <x:f t="shared" si="79"/>
        <x:v>5.0361511280239198E-2</x:v>
      </x:c>
    </x:row>
    <x:row r="50">
      <x:c r="B50" s="2" t="s">
        <x:v>71</x:v>
      </x:c>
      <x:c r="C50" s="11">
        <x:v>0</x:v>
      </x:c>
      <x:c r="D50" s="11">
        <x:v>0</x:v>
      </x:c>
      <x:c r="E50" s="11">
        <x:v>0</x:v>
      </x:c>
      <x:c r="F50" s="11">
        <x:v>0</x:v>
      </x:c>
      <x:c r="G50" s="11">
        <x:v>0</x:v>
      </x:c>
      <x:c r="H50" s="11">
        <x:v>0</x:v>
      </x:c>
      <x:c r="I50" s="11">
        <x:v>0</x:v>
      </x:c>
      <x:c r="J50" s="11">
        <x:v>0</x:v>
      </x:c>
      <x:c r="K50" s="11">
        <x:v>0</x:v>
      </x:c>
      <x:c r="L50" s="11">
        <x:v>0</x:v>
      </x:c>
      <x:c r="M50" s="11">
        <x:v>0</x:v>
      </x:c>
      <x:c r="N50" s="11">
        <x:v>0</x:v>
      </x:c>
      <x:c r="O50" s="11">
        <x:v>0</x:v>
      </x:c>
      <x:c r="P50" s="11">
        <x:v>0</x:v>
      </x:c>
      <x:c r="Q50" s="11">
        <x:v>0</x:v>
      </x:c>
      <x:c r="R50" s="11">
        <x:v>0</x:v>
      </x:c>
      <x:c r="S50" s="11">
        <x:v>0</x:v>
      </x:c>
      <x:c r="T50" s="11">
        <x:v>0</x:v>
      </x:c>
      <x:c r="U50" s="11">
        <x:v>0</x:v>
      </x:c>
      <x:c r="V50" s="11">
        <x:v>0</x:v>
      </x:c>
      <x:c r="W50" s="11">
        <x:v>0</x:v>
      </x:c>
      <x:c r="X50" s="11">
        <x:v>0</x:v>
      </x:c>
      <x:c r="Y50" s="11">
        <x:v>0</x:v>
      </x:c>
      <x:c r="Z50" s="11">
        <x:v>0</x:v>
      </x:c>
      <x:c r="AB50" s="12" t="n">
        <x:f t="shared" ref="AB50:AK50" si="80">AB22/AB13</x:f>
        <x:v>0.002160516559868405</x:v>
      </x:c>
      <x:c r="AC50" s="12">
        <x:f t="shared" si="80"/>
        <x:v>0</x:v>
      </x:c>
      <x:c r="AD50" s="12">
        <x:f t="shared" si="80"/>
        <x:v>7.0017401985873681E-3</x:v>
      </x:c>
      <x:c r="AE50" s="12">
        <x:f t="shared" si="80"/>
        <x:v>5.2094867495544516E-3</x:v>
      </x:c>
      <x:c r="AF50" s="12">
        <x:f t="shared" si="80"/>
        <x:v>0</x:v>
      </x:c>
      <x:c r="AG50" s="12">
        <x:f t="shared" si="80"/>
        <x:v>0</x:v>
      </x:c>
      <x:c r="AH50" s="12">
        <x:f t="shared" si="80"/>
        <x:v>0</x:v>
      </x:c>
      <x:c r="AI50" s="12">
        <x:f t="shared" si="80"/>
        <x:v>1.2681384782720143E-3</x:v>
      </x:c>
      <x:c r="AJ50" s="12">
        <x:f t="shared" si="80"/>
        <x:v>8.5733702449397261E-4</x:v>
      </x:c>
      <x:c r="AK50" s="12">
        <x:f t="shared" si="80"/>
        <x:v>3.1167889825133642E-3</x:v>
      </x:c>
    </x:row>
    <x:row r="51">
      <x:c r="B51" s="2" t="s">
        <x:v>72</x:v>
      </x:c>
      <x:c r="C51" s="11" t="n">
        <x:f>C29/C28</x:f>
        <x:v>0.0954219525648097</x:v>
      </x:c>
      <x:c r="D51" s="11" t="n">
        <x:f t="shared" ref="D51:T51" si="81">D29/D28</x:f>
        <x:v>0.08286176232821342</x:v>
      </x:c>
      <x:c r="E51" s="11">
        <x:f t="shared" si="81"/>
        <x:v>8.3883388338833881E-2</x:v>
      </x:c>
      <x:c r="F51" s="11">
        <x:f t="shared" si="81"/>
        <x:v>6.929450163193572E-2</x:v>
      </x:c>
      <x:c r="G51" s="11">
        <x:f t="shared" si="81"/>
        <x:v>9.3214285714285708E-2</x:v>
      </x:c>
      <x:c r="H51" s="11">
        <x:f t="shared" si="81"/>
        <x:v>0.10997616615594144</x:v>
      </x:c>
      <x:c r="I51" s="11">
        <x:f t="shared" si="81"/>
        <x:v>8.1662591687041569E-2</x:v>
      </x:c>
      <x:c r="J51" s="11">
        <x:f t="shared" si="81"/>
        <x:v>-2.6252852578731174</x:v>
      </x:c>
      <x:c r="K51" s="11">
        <x:f t="shared" si="81"/>
        <x:v>0.26336123631680619</x:v>
      </x:c>
      <x:c r="L51" s="11">
        <x:f t="shared" si="81"/>
        <x:v>0.20826709062003179</x:v>
      </x:c>
      <x:c r="M51" s="11">
        <x:f t="shared" si="81"/>
        <x:v>0.21569329989251165</x:v>
      </x:c>
      <x:c r="N51" s="11">
        <x:f t="shared" si="81"/>
        <x:v>0.15694092062341428</x:v>
      </x:c>
      <x:c r="O51" s="11">
        <x:f t="shared" si="81"/>
        <x:v>0.28692699490662138</x:v>
      </x:c>
      <x:c r="P51" s="11">
        <x:f t="shared" si="81"/>
        <x:v>0.23176242737249839</x:v>
      </x:c>
      <x:c r="Q51" s="11">
        <x:f t="shared" si="81"/>
        <x:v>0.29096477794793263</x:v>
      </x:c>
      <x:c r="R51" s="11">
        <x:f t="shared" si="81"/>
        <x:v>0.275190516511431</x:v>
      </x:c>
      <x:c r="S51" s="11">
        <x:f t="shared" si="81"/>
        <x:v>0.34358288770053474</x:v>
      </x:c>
      <x:c r="T51" s="11">
        <x:f t="shared" si="81"/>
        <x:v>0.15124153498871332</x:v>
      </x:c>
      <x:c r="U51" s="11" t="n">
        <x:f>AVERAGE(Q51:T51)</x:f>
        <x:v>0.26524492928715293</x:v>
      </x:c>
      <x:c r="V51" s="11" t="n">
        <x:f>U51</x:f>
        <x:v>0.26524492928715293</x:v>
      </x:c>
      <x:c r="W51" s="11" t="n">
        <x:f t="shared" ref="W51:Z51" si="82">V51</x:f>
        <x:v>0.26524492928715293</x:v>
      </x:c>
      <x:c r="X51" s="11">
        <x:f t="shared" si="82"/>
        <x:v>0.26524492928715293</x:v>
      </x:c>
      <x:c r="Y51" s="11">
        <x:f t="shared" si="82"/>
        <x:v>0.26524492928715293</x:v>
      </x:c>
      <x:c r="Z51" s="11">
        <x:f t="shared" si="82"/>
        <x:v>0.26524492928715293</x:v>
      </x:c>
      <x:c r="AB51" s="12" t="n">
        <x:f t="shared" ref="AB51:AK51" si="83">AB29/AB28</x:f>
        <x:v>0.08251330271885705</x:v>
      </x:c>
      <x:c r="AC51" s="12">
        <x:f t="shared" si="83"/>
        <x:v>-0.50145392559911761</x:v>
      </x:c>
      <x:c r="AD51" s="12">
        <x:f t="shared" si="83"/>
        <x:v>0.20433815350389323</x:v>
      </x:c>
      <x:c r="AE51" s="12">
        <x:f t="shared" si="83"/>
        <x:v>0.26960970064418338</x:v>
      </x:c>
      <x:c r="AF51" s="12">
        <x:f t="shared" si="83"/>
        <x:v>0.24915500924608056</x:v>
      </x:c>
      <x:c r="AG51" s="12">
        <x:f t="shared" si="83"/>
        <x:v>0.26524492928715293</x:v>
      </x:c>
      <x:c r="AH51" s="12">
        <x:f t="shared" si="83"/>
        <x:v>0.26524492928715293</x:v>
      </x:c>
      <x:c r="AI51" s="12">
        <x:f t="shared" si="83"/>
        <x:v>0.12237770363035248</x:v>
      </x:c>
      <x:c r="AJ51" s="12">
        <x:f t="shared" si="83"/>
        <x:v>-0.13147350471898026</x:v>
      </x:c>
      <x:c r="AK51" s="12">
        <x:f t="shared" si="83"/>
        <x:v>-6.21748974970932E-2</x:v>
      </x:c>
    </x:row>
    <x:row r="53">
      <x:c r="B53" s="2" t="s">
        <x:v>73</x:v>
      </x:c>
      <x:c r="G53" s="13" t="n">
        <x:f t="shared" ref="G53:T53" si="84">(G8+G9+G10)/(C8+C9+C10)-1</x:f>
        <x:v>0.18397485321155327</x:v>
      </x:c>
      <x:c r="H53" s="13">
        <x:f t="shared" si="84"/>
        <x:v>0.4565128064648678</x:v>
      </x:c>
      <x:c r="I53" s="13">
        <x:f t="shared" si="84"/>
        <x:v>4.9914401883158543E-2</x:v>
      </x:c>
      <x:c r="J53" s="13">
        <x:f t="shared" si="84"/>
        <x:v>1.2014830806777121E-2</x:v>
      </x:c>
      <x:c r="K53" s="13">
        <x:f t="shared" si="84"/>
        <x:v>-0.12948955567800435</x:v>
      </x:c>
      <x:c r="L53" s="13">
        <x:f t="shared" si="84"/>
        <x:v>-6.5356403987210876E-2</x:v>
      </x:c>
      <x:c r="M53" s="13">
        <x:f t="shared" si="84"/>
        <x:v>1.9923566878981003E-2</x:v>
      </x:c>
      <x:c r="N53" s="13">
        <x:f t="shared" si="84"/>
        <x:v>-8.1853174419143859E-2</x:v>
      </x:c>
      <x:c r="O53" s="13">
        <x:f t="shared" si="84"/>
        <x:v>-0.19628265623201746</x:v>
      </x:c>
      <x:c r="P53" s="13">
        <x:f t="shared" si="84"/>
        <x:v>-0.16183720696247106</x:v>
      </x:c>
      <x:c r="Q53" s="13">
        <x:f t="shared" si="84"/>
        <x:v>5.9402478017585914E-2</x:v>
      </x:c>
      <x:c r="R53" s="13">
        <x:f t="shared" si="84"/>
        <x:v>-0.10632387109809072</x:v>
      </x:c>
      <x:c r="S53" s="13">
        <x:f t="shared" si="84"/>
        <x:v>0.16231116202477258</x:v>
      </x:c>
      <x:c r="T53" s="13">
        <x:f t="shared" si="84"/>
        <x:v>0.23137866874737401</x:v>
      </x:c>
      <x:c r="AB53" s="12"/>
      <x:c r="AC53" s="12" t="n">
        <x:f t="shared" ref="AC53:AK53" si="85">(AC8+AC9+AC10)/(AB8+AB9+AB10)-1</x:f>
        <x:v>0.15332624331812705</x:v>
      </x:c>
      <x:c r="AD53" s="12">
        <x:f t="shared" si="85"/>
        <x:v>-6.4900083718560042E-2</x:v>
      </x:c>
      <x:c r="AE53" s="12">
        <x:f t="shared" si="85"/>
        <x:v>-9.7885039574412858E-2</x:v>
      </x:c>
      <x:c r="AF53" s="12">
        <x:f t="shared" si="85"/>
        <x:v>8.4910680896355339E-2</x:v>
      </x:c>
      <x:c r="AG53" s="12">
        <x:f t="shared" si="85"/>
        <x:v>2.8967446423482368E-3</x:v>
      </x:c>
      <x:c r="AH53" s="12">
        <x:f t="shared" si="85"/>
        <x:v>4.9015836505922339E-2</x:v>
      </x:c>
      <x:c r="AI53" s="12">
        <x:f t="shared" si="85"/>
        <x:v>4.9061822081394091E-2</x:v>
      </x:c>
      <x:c r="AJ53" s="12">
        <x:f t="shared" si="85"/>
        <x:v>4.9105698159194855E-2</x:v>
      </x:c>
      <x:c r="AK53" s="12">
        <x:f t="shared" si="85"/>
        <x:v>4.9147557922548213E-2</x:v>
      </x:c>
    </x:row>
    <x:row r="54">
      <x:c r="B54" s="2" t="s">
        <x:v>74</x:v>
      </x:c>
      <x:c r="G54" s="13" t="n">
        <x:f t="shared" ref="G54:S54" si="86">G12/C12-1</x:f>
        <x:v>0.43627834245504293</x:v>
      </x:c>
      <x:c r="H54" s="13">
        <x:f t="shared" si="86"/>
        <x:v>0.46657571623465222</x:v>
      </x:c>
      <x:c r="I54" s="13">
        <x:f t="shared" si="86"/>
        <x:v>0.31671732522796359</x:v>
      </x:c>
      <x:c r="J54" s="13">
        <x:f t="shared" si="86"/>
        <x:v>0.27336860670194008</x:v>
      </x:c>
      <x:c r="K54" s="13">
        <x:f t="shared" si="86"/>
        <x:v>0.24550898203592819</x:v>
      </x:c>
      <x:c r="L54" s="13">
        <x:f t="shared" si="86"/>
        <x:v>0.21302325581395354</x:v>
      </x:c>
      <x:c r="M54" s="13">
        <x:f t="shared" si="86"/>
        <x:v>0.28808864265927969</x:v>
      </x:c>
      <x:c r="N54" s="13">
        <x:f t="shared" si="86"/>
        <x:v>0.31486611265004627</x:v>
      </x:c>
      <x:c r="O54" s="13">
        <x:f t="shared" si="86"/>
        <x:v>0.15297202797202791</x:v>
      </x:c>
      <x:c r="P54" s="13">
        <x:f t="shared" si="86"/>
        <x:v>0.16794478527607359</x:v>
      </x:c>
      <x:c r="Q54" s="13">
        <x:f t="shared" si="86"/>
        <x:v>0.24551971326164868</x:v>
      </x:c>
      <x:c r="R54" s="13">
        <x:f t="shared" si="86"/>
        <x:v>0.1836376404494382</x:v>
      </x:c>
      <x:c r="S54" s="13">
        <x:f t="shared" si="86"/>
        <x:v>0.41963608794541329</x:v>
      </x:c>
      <x:c r="T54" s="13" t="n">
        <x:f>T12/P12-1</x:f>
        <x:v>0.5039395929087327</x:v>
      </x:c>
      <x:c r="AB54" s="12"/>
      <x:c r="AC54" s="12" t="n">
        <x:f t="shared" ref="AC54:AK54" si="87">AC12/AB12-1</x:f>
        <x:v>0.3657855852897718</x:v>
      </x:c>
      <x:c r="AD54" s="12">
        <x:f t="shared" si="87"/>
        <x:v>0.26625796369755972</x:v>
      </x:c>
      <x:c r="AE54" s="12">
        <x:f t="shared" si="87"/>
        <x:v>0.18948167837478636</x:v>
      </x:c>
      <x:c r="AF54" s="12">
        <x:f t="shared" si="87"/>
        <x:v>0.29280925778132483</x:v>
      </x:c>
      <x:c r="AG54" s="12">
        <x:f t="shared" si="87"/>
        <x:v>0.14999999999999991</x:v>
      </x:c>
      <x:c r="AH54" s="12">
        <x:f t="shared" si="87"/>
        <x:v>0.14999999999999991</x:v>
      </x:c>
      <x:c r="AI54" s="12">
        <x:f t="shared" si="87"/>
        <x:v>0.14999999999999991</x:v>
      </x:c>
      <x:c r="AJ54" s="12">
        <x:f t="shared" si="87"/>
        <x:v>0.14999999999999991</x:v>
      </x:c>
      <x:c r="AK54" s="12">
        <x:f t="shared" si="87"/>
        <x:v>0.14999999999999991</x:v>
      </x:c>
    </x:row>
    <x:row r="55">
      <x:c r="B55" s="2" t="s">
        <x:v>75</x:v>
      </x:c>
      <x:c r="G55" s="13" t="n">
        <x:f t="shared" ref="G55:T55" si="88">G11/C11-1</x:f>
        <x:v>1.4821428571428572</x:v>
      </x:c>
      <x:c r="H55" s="13">
        <x:f t="shared" si="88"/>
        <x:v>0.7424942263279446</x:v>
      </x:c>
      <x:c r="I55" s="13">
        <x:f t="shared" si="88"/>
        <x:v>0.39570277529095788</x:v>
      </x:c>
      <x:c r="J55" s="13">
        <x:f t="shared" si="88"/>
        <x:v>9.7709923664122122E-2</x:v>
      </x:c>
      <x:c r="K55" s="13">
        <x:f t="shared" si="88"/>
        <x:v>6.9326357096141322E-2</x:v>
      </x:c>
      <x:c r="L55" s="13">
        <x:f t="shared" si="88"/>
        <x:v>0.99734923790589791</x:v>
      </x:c>
      <x:c r="M55" s="13">
        <x:f t="shared" si="88"/>
        <x:v>0.52405388069275172</x:v>
      </x:c>
      <x:c r="N55" s="13">
        <x:f t="shared" si="88"/>
        <x:v>1.1286509040333796</x:v>
      </x:c>
      <x:c r="O55" s="13">
        <x:f t="shared" si="88"/>
        <x:v>0.66972477064220182</x:v>
      </x:c>
      <x:c r="P55" s="13">
        <x:f t="shared" si="88"/>
        <x:v>-7.4651625746516292E-2</x:v>
      </x:c>
      <x:c r="Q55" s="13">
        <x:f t="shared" si="88"/>
        <x:v>0.43728956228956228</x:v>
      </x:c>
      <x:c r="R55" s="13">
        <x:f t="shared" si="88"/>
        <x:v>0.25351192420777524</x:v>
      </x:c>
      <x:c r="S55" s="13">
        <x:f t="shared" si="88"/>
        <x:v>-0.11794871794871797</x:v>
      </x:c>
      <x:c r="T55" s="13">
        <x:f t="shared" si="88"/>
        <x:v>0.12549300824668341</x:v>
      </x:c>
      <x:c r="AB55" s="12"/>
      <x:c r="AC55" s="12" t="n">
        <x:f t="shared" ref="AC55:AK55" si="89">AC11/AB11-1</x:f>
        <x:v>0.5438731133282169</x:v>
      </x:c>
      <x:c r="AD55" s="12">
        <x:f t="shared" si="89"/>
        <x:v>0.67125103562551791</x:v>
      </x:c>
      <x:c r="AE55" s="12">
        <x:f t="shared" si="89"/>
        <x:v>0.26621058893515759</x:v>
      </x:c>
      <x:c r="AF55" s="12">
        <x:f t="shared" si="89"/>
        <x:v>8.7369822253543061E-2</x:v>
      </x:c>
      <x:c r="AG55" s="12">
        <x:f t="shared" si="89"/>
        <x:v>0.14999999999999969</x:v>
      </x:c>
      <x:c r="AH55" s="12">
        <x:f t="shared" si="89"/>
        <x:v>0.10000000000000009</x:v>
      </x:c>
      <x:c r="AI55" s="12">
        <x:f t="shared" si="89"/>
        <x:v>0.10000000000000009</x:v>
      </x:c>
      <x:c r="AJ55" s="12">
        <x:f t="shared" si="89"/>
        <x:v>0.10000000000000009</x:v>
      </x:c>
      <x:c r="AK55" s="12">
        <x:f t="shared" si="89"/>
        <x:v>0.10000000000000009</x:v>
      </x:c>
    </x:row>
    <x:row r="56">
      <x:c r="B56" s="2" t="s">
        <x:v>76</x:v>
      </x:c>
      <x:c r="G56" s="13" t="n">
        <x:f t="shared" ref="G56:S56" si="90">G13/C13-1</x:f>
        <x:v>0.24381531243335464</x:v>
      </x:c>
      <x:c r="H56" s="13">
        <x:f t="shared" si="90"/>
        <x:v>0.47200897602456604</x:v>
      </x:c>
      <x:c r="I56" s="13">
        <x:f t="shared" si="90"/>
        <x:v>8.8375128181224838E-2</x:v>
      </x:c>
      <x:c r="J56" s="13">
        <x:f t="shared" si="90"/>
        <x:v>3.4912410560078877E-2</x:v>
      </x:c>
      <x:c r="K56" s="13">
        <x:f t="shared" si="90"/>
        <x:v>-8.6930429936988296E-2</x:v>
      </x:c>
      <x:c r="L56" s="13">
        <x:f t="shared" si="90"/>
        <x:v>2.2987122397400306E-2</x:v>
      </x:c>
      <x:c r="M56" s="13">
        <x:f t="shared" si="90"/>
        <x:v>7.8458244111349051E-2</x:v>
      </x:c>
      <x:c r="N56" s="13">
        <x:f t="shared" si="90"/>
        <x:v>2.1456669448086885E-2</x:v>
      </x:c>
      <x:c r="O56" s="13">
        <x:f t="shared" si="90"/>
        <x:v>-9.2296136331627587E-2</x:v>
      </x:c>
      <x:c r="P56" s="13">
        <x:f t="shared" si="90"/>
        <x:v>-0.1178039215686274</x:v>
      </x:c>
      <x:c r="Q56" s="13">
        <x:f t="shared" si="90"/>
        <x:v>0.11567786514176803</x:v>
      </x:c>
      <x:c r="R56" s="13">
        <x:f t="shared" si="90"/>
        <x:v>-3.1353327887345905E-2</x:v>
      </x:c>
      <x:c r="S56" s="13">
        <x:f t="shared" si="90"/>
        <x:v>0.15784846133953967</x:v>
      </x:c>
      <x:c r="T56" s="13" t="n">
        <x:f>T13/P13-1</x:f>
        <x:v>0.25515647226173543</x:v>
      </x:c>
      <x:c r="AB56" s="12"/>
      <x:c r="AC56" s="12" t="n">
        <x:f t="shared" ref="AC56:AK56" si="91">AC13/AB13-1</x:f>
        <x:v>0.18795266504627928</x:v>
      </x:c>
      <x:c r="AD56" s="12">
        <x:f t="shared" si="91"/>
        <x:v>9.4757835346634955E-3</x:v>
      </x:c>
      <x:c r="AE56" s="12">
        <x:f t="shared" si="91"/>
        <x:v>-2.9306991503736279E-2</x:v>
      </x:c>
      <x:c r="AF56" s="12">
        <x:f t="shared" si="91"/>
        <x:v>0.11271262404167603</x:v>
      </x:c>
      <x:c r="AG56" s="12">
        <x:f t="shared" si="91"/>
        <x:v>4.484050639149606E-2</x:v>
      </x:c>
      <x:c r="AH56" s="12">
        <x:f t="shared" si="91"/>
        <x:v>-0.21136442766851082</x:v>
      </x:c>
      <x:c r="AI56" s="12">
        <x:f t="shared" si="91"/>
        <x:v>0.59626355270563569</x:v>
      </x:c>
      <x:c r="AJ56" s="12">
        <x:f t="shared" si="91"/>
        <x:v>0.47915981934935048</x:v>
      </x:c>
      <x:c r="AK56" s="12">
        <x:f t="shared" si="91"/>
        <x:v>0.34409499138351918</x:v>
      </x:c>
    </x:row>
    <x:row r="57">
      <x:c r="B57" s="2" t="s">
        <x:v>77</x:v>
      </x:c>
      <x:c r="C57" s="13" t="n">
        <x:f t="shared" ref="C57:T57" si="92">C19/C13</x:f>
        <x:v>0.291106845809341</x:v>
      </x:c>
      <x:c r="D57" s="13">
        <x:f t="shared" si="92"/>
        <x:v>0.25002952639659853</x:v>
      </x:c>
      <x:c r="E57" s="13">
        <x:f t="shared" si="92"/>
        <x:v>0.25086231005873033</x:v>
      </x:c>
      <x:c r="F57" s="13">
        <x:f t="shared" si="92"/>
        <x:v>0.23756065465910026</x:v>
      </x:c>
      <x:c r="G57" s="13">
        <x:f t="shared" si="92"/>
        <x:v>0.19336448197522396</x:v>
      </x:c>
      <x:c r="H57" s="13">
        <x:f t="shared" si="92"/>
        <x:v>0.18185100493440848</x:v>
      </x:c>
      <x:c r="I57" s="13">
        <x:f t="shared" si="92"/>
        <x:v>0.17892933618843684</x:v>
      </x:c>
      <x:c r="J57" s="13">
        <x:f t="shared" si="92"/>
        <x:v>0.17634203520483172</x:v>
      </x:c>
      <x:c r="K57" s="13">
        <x:f t="shared" si="92"/>
        <x:v>0.1735129806112389</x:v>
      </x:c>
      <x:c r="L57" s="13">
        <x:f t="shared" si="92"/>
        <x:v>0.17952941176470588</x:v>
      </x:c>
      <x:c r="M57" s="13">
        <x:f t="shared" si="92"/>
        <x:v>0.19843539035819235</x:v>
      </x:c>
      <x:c r="N57" s="13">
        <x:f t="shared" si="92"/>
        <x:v>0.16256272610572994</x:v>
      </x:c>
      <x:c r="O57" s="13">
        <x:f t="shared" si="92"/>
        <x:v>0.16307214895267649</x:v>
      </x:c>
      <x:c r="P57" s="13">
        <x:f t="shared" si="92"/>
        <x:v>0.17238620199146515</x:v>
      </x:c>
      <x:c r="Q57" s="13">
        <x:f t="shared" si="92"/>
        <x:v>0.1798896600818651</x:v>
      </x:c>
      <x:c r="R57" s="13">
        <x:f t="shared" si="92"/>
        <x:v>0.20115658005702583</x:v>
      </x:c>
      <x:c r="S57" s="13">
        <x:f t="shared" si="92"/>
        <x:v>0.21083664626792334</x:v>
      </x:c>
      <x:c r="T57" s="13">
        <x:f t="shared" si="92"/>
        <x:v>0.16826037682391273</x:v>
      </x:c>
      <x:c r="AB57" s="12" t="n">
        <x:f t="shared" ref="AB57:AK57" si="93">AB19/AB13</x:f>
        <x:v>0.25598438535759005</x:v>
      </x:c>
      <x:c r="AC57" s="12">
        <x:f t="shared" si="93"/>
        <x:v>0.18248891736331416</x:v>
      </x:c>
      <x:c r="AD57" s="12">
        <x:f t="shared" si="93"/>
        <x:v>0.17862626676220697</x:v>
      </x:c>
      <x:c r="AE57" s="12">
        <x:f t="shared" si="93"/>
        <x:v>0.18026511436616155</x:v>
      </x:c>
      <x:c r="AF57" s="12">
        <x:f t="shared" si="93"/>
        <x:v>0.19285939313537168</x:v>
      </x:c>
      <x:c r="AG57" s="12">
        <x:f t="shared" si="93"/>
        <x:v>0.19513081571158658</x:v>
      </x:c>
      <x:c r="AH57" s="12">
        <x:f t="shared" si="93"/>
        <x:v>0.19572680145027493</x:v>
      </x:c>
      <x:c r="AI57" s="12">
        <x:f t="shared" si="93"/>
        <x:v>0.23209344117104364</x:v>
      </x:c>
      <x:c r="AJ57" s="12">
        <x:f t="shared" si="93"/>
        <x:v>0.2140797310035506</x:v>
      </x:c>
      <x:c r="AK57" s="12">
        <x:f t="shared" si="93"/>
        <x:v>0.20281960677720395</x:v>
      </x:c>
    </x:row>
    <x:row r="59">
      <x:c r="B59" s="14" t="s">
        <x:v>78</x:v>
      </x:c>
    </x:row>
    <x:row r="60">
      <x:c r="B60" s="15" t="s">
        <x:v>79</x:v>
      </x:c>
    </x:row>
    <x:row r="70">
      <x:c r="B70" s="2" t="s">
        <x:v>80</x:v>
      </x:c>
    </x:row>
    <x:row r="71" ht="30">
      <x:c r="B71" s="9" t="s">
        <x:v>81</x:v>
      </x:c>
    </x:row>
    <x:row r="72" ht="60">
      <x:c r="B72" s="9" t="s">
        <x:v>82</x:v>
      </x:c>
    </x:row>
  </x:sheetData>
  <x:mergeCells>
    <x:mergeCell ref="A38:A40"/>
  </x:mergeCells>
  <x:pageMargins left="0.7" right="0.7" top="0.75" bottom="0.75" header="0.3" footer="0.3"/>
  <x:drawing xmlns:r="http://schemas.openxmlformats.org/officeDocument/2006/relationships" r:id="Rb0028797c2fe4d1f"/>
  <x:legacyDrawing xmlns:r="http://schemas.openxmlformats.org/officeDocument/2006/relationships" r:id="R6217d2769a1d48dc"/>
</x:worksheet>
</file>