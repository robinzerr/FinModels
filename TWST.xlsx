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errr\Desktop\FinModels\"/>
    </mc:Choice>
  </mc:AlternateContent>
  <xr:revisionPtr revIDLastSave="0" documentId="13_ncr:1_{D9C33F68-890B-4879-93A9-6C1AE2804D73}" xr6:coauthVersionLast="47" xr6:coauthVersionMax="47" xr10:uidLastSave="{00000000-0000-0000-0000-000000000000}"/>
  <bookViews>
    <workbookView xWindow="-120" yWindow="-120" windowWidth="29040" windowHeight="15840" xr2:uid="{7A10FED2-3E19-44B9-9D40-73F90740EF29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57" i="1" l="1"/>
  <c r="F56" i="1"/>
  <c r="F55" i="1"/>
  <c r="F54" i="1"/>
  <c r="F51" i="1"/>
  <c r="F50" i="1"/>
  <c r="F49" i="1"/>
  <c r="F48" i="1"/>
  <c r="F47" i="1"/>
  <c r="F46" i="1"/>
  <c r="H29" i="1"/>
  <c r="H28" i="1"/>
  <c r="G25" i="2"/>
  <c r="F25" i="2"/>
  <c r="E25" i="2"/>
  <c r="D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U13" i="2"/>
  <c r="U16" i="2" s="1"/>
  <c r="U18" i="2" s="1"/>
  <c r="T13" i="2"/>
  <c r="T16" i="2" s="1"/>
  <c r="T18" i="2" s="1"/>
  <c r="T20" i="2" s="1"/>
  <c r="S13" i="2"/>
  <c r="S16" i="2" s="1"/>
  <c r="S18" i="2" s="1"/>
  <c r="S20" i="2" s="1"/>
  <c r="R13" i="2"/>
  <c r="R16" i="2" s="1"/>
  <c r="R18" i="2" s="1"/>
  <c r="R20" i="2" s="1"/>
  <c r="Q13" i="2"/>
  <c r="Q16" i="2" s="1"/>
  <c r="Q18" i="2" s="1"/>
  <c r="Q20" i="2" s="1"/>
  <c r="P13" i="2"/>
  <c r="P16" i="2" s="1"/>
  <c r="P18" i="2" s="1"/>
  <c r="P20" i="2" s="1"/>
  <c r="O13" i="2"/>
  <c r="O16" i="2" s="1"/>
  <c r="O18" i="2" s="1"/>
  <c r="O20" i="2" s="1"/>
  <c r="N13" i="2"/>
  <c r="N16" i="2" s="1"/>
  <c r="N18" i="2" s="1"/>
  <c r="N20" i="2" s="1"/>
  <c r="M13" i="2"/>
  <c r="M16" i="2" s="1"/>
  <c r="M18" i="2" s="1"/>
  <c r="M20" i="2" s="1"/>
  <c r="L13" i="2"/>
  <c r="L16" i="2" s="1"/>
  <c r="L18" i="2" s="1"/>
  <c r="L20" i="2" s="1"/>
  <c r="K13" i="2"/>
  <c r="K16" i="2" s="1"/>
  <c r="K18" i="2" s="1"/>
  <c r="K20" i="2" s="1"/>
  <c r="J13" i="2"/>
  <c r="J16" i="2" s="1"/>
  <c r="J18" i="2" s="1"/>
  <c r="J20" i="2" s="1"/>
  <c r="I13" i="2"/>
  <c r="I16" i="2" s="1"/>
  <c r="I18" i="2" s="1"/>
  <c r="I20" i="2" s="1"/>
  <c r="H13" i="2"/>
  <c r="H16" i="2" s="1"/>
  <c r="H18" i="2" s="1"/>
  <c r="H20" i="2" s="1"/>
  <c r="G13" i="2"/>
  <c r="G16" i="2" s="1"/>
  <c r="G18" i="2" s="1"/>
  <c r="G20" i="2" s="1"/>
  <c r="F13" i="2"/>
  <c r="F16" i="2" s="1"/>
  <c r="F18" i="2" s="1"/>
  <c r="F20" i="2" s="1"/>
  <c r="E13" i="2"/>
  <c r="E16" i="2" s="1"/>
  <c r="E18" i="2" s="1"/>
  <c r="E20" i="2" s="1"/>
  <c r="D13" i="2"/>
  <c r="D16" i="2" s="1"/>
  <c r="D18" i="2" s="1"/>
  <c r="D20" i="2" s="1"/>
  <c r="V13" i="2"/>
  <c r="V16" i="2" s="1"/>
  <c r="V18" i="2" s="1"/>
  <c r="V20" i="2" s="1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V12" i="2"/>
  <c r="V11" i="2"/>
  <c r="F6" i="1"/>
  <c r="F7" i="1"/>
  <c r="F5" i="1"/>
  <c r="F8" i="1" l="1"/>
  <c r="U2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robin zerr</author>
  </authors>
  <commentList>
    <comment ref="F53" authorId="0" shapeId="0" xr:uid="{11000462-69AE-4278-B4BC-E98F2AABF7F2}">
      <text>
        <r>
          <rPr>
            <b/>
            <sz val="9"/>
            <color indexed="81"/>
            <rFont val="Tahoma"/>
            <family val="2"/>
          </rPr>
          <t>robin zerr:</t>
        </r>
        <r>
          <rPr>
            <sz val="9"/>
            <color indexed="81"/>
            <rFont val="Tahoma"/>
            <family val="2"/>
          </rPr>
          <t xml:space="preserve">
Assumption: Enter a peer-group median or justified scenario multiple. Do not derive this from negative P/E.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robin zerr</author>
  </authors>
  <commentList>
    <comment ref="G6" authorId="0" shapeId="0" xr:uid="{0B2964A7-A835-437F-BE85-7DB76883D314}">
      <text>
        <r>
          <rPr>
            <b/>
            <sz val="9"/>
            <color indexed="81"/>
            <rFont val="Tahoma"/>
            <charset val="1"/>
          </rPr>
          <t>robin zerr:</t>
        </r>
        <r>
          <rPr>
            <sz val="9"/>
            <color indexed="81"/>
            <rFont val="Tahoma"/>
            <charset val="1"/>
          </rPr>
          <t xml:space="preserve">
Source: Twist Bioscience FY2022 annual results / 10-K | Period: Q4 FY2022 | Method: FY less first nine months where applicable; Q4 weighted-average shares from reported quarter.</t>
        </r>
      </text>
    </comment>
    <comment ref="K6" authorId="0" shapeId="0" xr:uid="{DFED0E1C-69B8-4B6B-A669-3B0034F7ED35}">
      <text>
        <r>
          <rPr>
            <b/>
            <sz val="9"/>
            <color indexed="81"/>
            <rFont val="Tahoma"/>
            <charset val="1"/>
          </rPr>
          <t>robin zerr:</t>
        </r>
        <r>
          <rPr>
            <sz val="9"/>
            <color indexed="81"/>
            <rFont val="Tahoma"/>
            <charset val="1"/>
          </rPr>
          <t xml:space="preserve">
Source: Twist Bioscience FY2023 annual results / 10-K | Period: Q4 FY2023 | Method: FY less first nine months where applicable; Q4 weighted-average shares from reported quarter.</t>
        </r>
      </text>
    </comment>
    <comment ref="O6" authorId="0" shapeId="0" xr:uid="{A04FC313-BCEE-42E8-AF8B-1D2FC6EC3538}">
      <text>
        <r>
          <rPr>
            <b/>
            <sz val="9"/>
            <color indexed="81"/>
            <rFont val="Tahoma"/>
            <charset val="1"/>
          </rPr>
          <t>robin zerr:</t>
        </r>
        <r>
          <rPr>
            <sz val="9"/>
            <color indexed="81"/>
            <rFont val="Tahoma"/>
            <charset val="1"/>
          </rPr>
          <t xml:space="preserve">
Source: Twist Bioscience FY2024 annual results / 10-K | Period: Q4 FY2024 | Method: FY less first nine months where applicable; Q4 weighted-average shares from reported quarter.</t>
        </r>
      </text>
    </comment>
    <comment ref="S6" authorId="0" shapeId="0" xr:uid="{3E47BB56-F691-4E0B-A564-0BF45FF6F24E}">
      <text>
        <r>
          <rPr>
            <b/>
            <sz val="9"/>
            <color indexed="81"/>
            <rFont val="Tahoma"/>
            <charset val="1"/>
          </rPr>
          <t>robin zerr:</t>
        </r>
        <r>
          <rPr>
            <sz val="9"/>
            <color indexed="81"/>
            <rFont val="Tahoma"/>
            <charset val="1"/>
          </rPr>
          <t xml:space="preserve">
Source: Twist Bioscience FY2025 annual results / 10-K | Period: Q4 FY2025 | Method: FY less first nine months where applicable; Q4 weighted-average shares from reported quarter.</t>
        </r>
      </text>
    </comment>
    <comment ref="W6" authorId="0" shapeId="0" xr:uid="{0A6164BC-7E42-442B-BC7B-DABF106F72E8}">
      <text>
        <r>
          <rPr>
            <b/>
            <sz val="9"/>
            <color indexed="81"/>
            <rFont val="Tahoma"/>
            <family val="2"/>
          </rPr>
          <t>robin zerr:</t>
        </r>
        <r>
          <rPr>
            <sz val="9"/>
            <color indexed="81"/>
            <rFont val="Tahoma"/>
            <family val="2"/>
          </rPr>
          <t xml:space="preserve">
Forecast: Q4 FY2026 applies average reported FY2026 year-over-year growth to Q4 FY2025.</t>
        </r>
      </text>
    </comment>
    <comment ref="X6" authorId="0" shapeId="0" xr:uid="{35D09DBF-04C8-4B52-87D4-D3C225E8FC92}">
      <text>
        <r>
          <rPr>
            <b/>
            <sz val="9"/>
            <color indexed="81"/>
            <rFont val="Tahoma"/>
            <family val="2"/>
          </rPr>
          <t>robin zerr:</t>
        </r>
        <r>
          <rPr>
            <sz val="9"/>
            <color indexed="81"/>
            <rFont val="Tahoma"/>
            <family val="2"/>
          </rPr>
          <t xml:space="preserve">
Forecast: FY2027 applies the average FY2026 year-over-year growth rate to the comparable prior-year quarter.</t>
        </r>
      </text>
    </comment>
    <comment ref="U7" authorId="0" shapeId="0" xr:uid="{38B8722F-FCC7-4C92-8FCC-D6B6BAEF02C9}">
      <text>
        <r>
          <rPr>
            <b/>
            <sz val="9"/>
            <color indexed="81"/>
            <rFont val="Tahoma"/>
            <charset val="1"/>
          </rPr>
          <t>robin zerr:</t>
        </r>
        <r>
          <rPr>
            <sz val="9"/>
            <color indexed="81"/>
            <rFont val="Tahoma"/>
            <charset val="1"/>
          </rPr>
          <t xml:space="preserve">
Source: Twist Bioscience Q2 FY2026 financial results, filed May 7, 2026 | Cost of revenues reported as $53.593 million.</t>
        </r>
      </text>
    </comment>
  </commentList>
</comments>
</file>

<file path=xl/sharedStrings.xml><?xml version="1.0" encoding="utf-8"?>
<sst xmlns="http://schemas.openxmlformats.org/spreadsheetml/2006/main" count="121" uniqueCount="119">
  <si>
    <t>Main</t>
  </si>
  <si>
    <t xml:space="preserve">Price </t>
  </si>
  <si>
    <t>Shares</t>
  </si>
  <si>
    <t>MC</t>
  </si>
  <si>
    <t>Cash</t>
  </si>
  <si>
    <t>Debt</t>
  </si>
  <si>
    <t>Enterprise Value</t>
  </si>
  <si>
    <t>Twist bioscience</t>
  </si>
  <si>
    <t xml:space="preserve">Makes synthetic DNA for other companies
reasearch and development use? </t>
  </si>
  <si>
    <t>Target Market - Bio tech
Pharma etc.</t>
  </si>
  <si>
    <t>Model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</si>
  <si>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</si>
  <si>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</si>
  <si>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</si>
  <si>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</si>
  <si>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</si>
  <si>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</si>
  <si>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</si>
  <si>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</si>
  <si>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</si>
  <si>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</si>
  <si>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</si>
  <si>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</si>
  <si>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</si>
  <si>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</si>
  <si>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</si>
  <si>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</si>
  <si>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Q126</t>
  </si>
  <si>
    <t>Q226</t>
  </si>
  <si>
    <t>Q326</t>
  </si>
  <si>
    <t>Total Revenue</t>
  </si>
  <si>
    <t>Cost of Revenues</t>
  </si>
  <si>
    <t>Cost of R&amp;D</t>
  </si>
  <si>
    <t>Cost of SG&amp;A</t>
  </si>
  <si>
    <t>Gross Profit</t>
  </si>
  <si>
    <t xml:space="preserve">Interest income </t>
  </si>
  <si>
    <t>Total COGS and Operating costs</t>
  </si>
  <si>
    <t>Other income (expense) net</t>
  </si>
  <si>
    <t>Income (loss) before income taxes</t>
  </si>
  <si>
    <t>Income tax expense</t>
  </si>
  <si>
    <t>Loss from operations</t>
  </si>
  <si>
    <t>Net income</t>
  </si>
  <si>
    <t>EPS -Diluted</t>
  </si>
  <si>
    <t>Shares Diluted</t>
  </si>
  <si>
    <t>Revenue from repeats 
As defined by 2 or more purchases 
per fiscalyear</t>
  </si>
  <si>
    <t>Litigation Cost/Other</t>
  </si>
  <si>
    <t>Numbers in Millions</t>
  </si>
  <si>
    <t>Q426</t>
  </si>
  <si>
    <t>Q127</t>
  </si>
  <si>
    <t>Q227</t>
  </si>
  <si>
    <t>Q327</t>
  </si>
  <si>
    <t>Q427</t>
  </si>
  <si>
    <t>Gross Margin</t>
  </si>
  <si>
    <t xml:space="preserve">Tax Rate </t>
  </si>
  <si>
    <t>Revenue Growth YoY</t>
  </si>
  <si>
    <t xml:space="preserve"> </t>
  </si>
  <si>
    <t xml:space="preserve">Yearly: </t>
  </si>
  <si>
    <t>Bull Case</t>
  </si>
  <si>
    <t>Base Case</t>
  </si>
  <si>
    <t>Bear Case</t>
  </si>
  <si>
    <t>Narratives and Setup</t>
  </si>
  <si>
    <r>
      <rPr>
        <b/>
        <sz val="11"/>
        <color theme="1"/>
        <rFont val="Aptos Narrow"/>
        <family val="2"/>
        <scheme val="minor"/>
      </rPr>
      <t xml:space="preserve">Sentiment: </t>
    </r>
    <r>
      <rPr>
        <sz val="11"/>
        <color theme="1"/>
        <rFont val="Aptos Narrow"/>
        <family val="2"/>
        <scheme val="minor"/>
      </rPr>
      <t>How do other investors feel about the stock?</t>
    </r>
  </si>
  <si>
    <r>
      <rPr>
        <b/>
        <sz val="11"/>
        <color theme="1"/>
        <rFont val="Aptos Narrow"/>
        <family val="2"/>
        <scheme val="minor"/>
      </rPr>
      <t>Positioning:</t>
    </r>
    <r>
      <rPr>
        <sz val="11"/>
        <color theme="1"/>
        <rFont val="Aptos Narrow"/>
        <family val="2"/>
        <scheme val="minor"/>
      </rPr>
      <t xml:space="preserve"> Who owns the stock and how much?</t>
    </r>
  </si>
  <si>
    <t>Investor</t>
  </si>
  <si>
    <t>Ownership</t>
  </si>
  <si>
    <t>Artisan Partners</t>
  </si>
  <si>
    <t>6.41M</t>
  </si>
  <si>
    <t>ARK Investment Management</t>
  </si>
  <si>
    <t>6.38M</t>
  </si>
  <si>
    <t>Vanguard</t>
  </si>
  <si>
    <t>5.48M</t>
  </si>
  <si>
    <t>BlackRock</t>
  </si>
  <si>
    <t>4.93M</t>
  </si>
  <si>
    <t>EdgePoint Investment Group</t>
  </si>
  <si>
    <t>4.08M</t>
  </si>
  <si>
    <t>William Blair</t>
  </si>
  <si>
    <t>3.81M</t>
  </si>
  <si>
    <t>State Street</t>
  </si>
  <si>
    <t>3.09M</t>
  </si>
  <si>
    <t>View as a high growth piotential
postive has strong revenue 
negative: widening net loss and high customer concentration
Instiutions holding a decent percent of it.</t>
  </si>
  <si>
    <t>Bogey number: The number
 the company needs to beat for investors to view the quarterly positively</t>
  </si>
  <si>
    <t>The company becomes profitable</t>
  </si>
  <si>
    <t xml:space="preserve">Revenue grows steadily but still operate at a net loss? </t>
  </si>
  <si>
    <t>Revenue declines - Still operating at net loss</t>
  </si>
  <si>
    <t xml:space="preserve">Profit? It currrent looks like the price has spiked from
a earnings increase of 3mm from expected. I feel like I can
see how much 3mm over expected correlates to a stock price change </t>
  </si>
  <si>
    <t>Latest earnings on aug
third. Price was 91$ per
share</t>
  </si>
  <si>
    <t>august 11th price: 123</t>
  </si>
  <si>
    <t>net change =</t>
  </si>
  <si>
    <t>Reported-estimate/estimate 
earnings</t>
  </si>
  <si>
    <t>VALUING A LOSS-MAKING COMPANY</t>
  </si>
  <si>
    <t>Recommended sequence</t>
  </si>
  <si>
    <t>Use EV / Revenue while EPS and operating income are negative</t>
  </si>
  <si>
    <t>Forecast revenue growth and gross-margin expansion</t>
  </si>
  <si>
    <t>Forecast R&amp;D and SG&amp;A to determine the break-even year</t>
  </si>
  <si>
    <t>Check cash runway and potential dilution before break-even</t>
  </si>
  <si>
    <t>Use P/E only on normalized earnings after profitability</t>
  </si>
  <si>
    <t>Current valuation snapshot</t>
  </si>
  <si>
    <t>TTM Revenue ($mm)</t>
  </si>
  <si>
    <t>TTM Gross Margin</t>
  </si>
  <si>
    <t>TTM Operating Margin</t>
  </si>
  <si>
    <t>Enterprise Value ($mm)</t>
  </si>
  <si>
    <t>Current EV / TTM Revenue</t>
  </si>
  <si>
    <t>TTM Revenue Growth</t>
  </si>
  <si>
    <t>Selected Forward EV / Revenue</t>
  </si>
  <si>
    <t>Forward Revenue ($mm)</t>
  </si>
  <si>
    <t>Implied Enterprise Value ($mm)</t>
  </si>
  <si>
    <t>Implied Equity Value ($mm)</t>
  </si>
  <si>
    <t>Implied Price / Share</t>
  </si>
  <si>
    <t>How to choose the multiple</t>
  </si>
  <si>
    <t>Peer quality</t>
  </si>
  <si>
    <t>Use companies with similar growth, gross margins, recurring revenue and end markets</t>
  </si>
  <si>
    <t>Growth adjustment</t>
  </si>
  <si>
    <t>Higher sustainable growth can justify a higher revenue multiple</t>
  </si>
  <si>
    <t>Profitability adjustment</t>
  </si>
  <si>
    <t>Stronger margins and a shorter path to break-even support a higher multiple</t>
  </si>
  <si>
    <t>Risk adjustment</t>
  </si>
  <si>
    <t>Cash burn, dilution, customer concentration and execution risk reduce the multiple</t>
  </si>
  <si>
    <t>Cross-check</t>
  </si>
  <si>
    <t>Validate the result with a DCF once long-term margins and cash flow are forecast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</si>
</sst>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&quot;$&quot;#,##0.0"/>
    <numFmt numFmtId="165" formatCode="0.000;[Red]0.000"/>
    <numFmt numFmtId="166" formatCode="0.00;[Red]0.00"/>
    <numFmt numFmtId="167" formatCode="0.000%"/>
    <numFmt numFmtId="168" formatCode="0;[Red]0"/>
    <numFmt numFmtId="173" formatCode="#,##0.0;[Red]\(#,##0.0\);\-"/>
    <numFmt numFmtId="174" formatCode="0.0%"/>
    <numFmt numFmtId="175" formatCode="0.0%;[Red]\(0.0%\)"/>
    <numFmt numFmtId="176" formatCode="0.0\x"/>
    <numFmt numFmtId="177" formatCode="&quot;$&quot;0.0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FFFFFF"/>
      <name val="Aptos Narrow"/>
      <family val="2"/>
      <scheme val="minor"/>
    </font>
    <font>
      <sz val="11"/>
      <color rgb="FF0070C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D2330"/>
        <bgColor indexed="64"/>
      </patternFill>
    </fill>
    <fill>
      <patternFill patternType="solid">
        <fgColor rgb="FFE2E3E5"/>
        <bgColor indexed="64"/>
      </patternFill>
    </fill>
    <fill>
      <patternFill patternType="solid">
        <fgColor rgb="FFFFF2CC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rgb="FF1D2330"/>
      </bottom>
      <diagonal/>
    </border>
    <border>
      <left/>
      <right/>
      <top/>
      <bottom style="thin">
        <color rgb="FF80808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C9A227"/>
      </left>
      <right style="thin">
        <color rgb="FFC9A227"/>
      </right>
      <top style="thin">
        <color rgb="FFC9A227"/>
      </top>
      <bottom style="thin">
        <color rgb="FFC9A227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1">
    <xf numFmtId="0" fontId="0" fillId="0" borderId="0" xfId="0"/>
    <xf numFmtId="165" fontId="0" fillId="0" borderId="0" xfId="0" applyNumberFormat="1"/>
    <xf numFmtId="165" fontId="0" fillId="0" borderId="2" xfId="0" applyNumberFormat="1" applyBorder="1"/>
    <xf numFmtId="165" fontId="2" fillId="0" borderId="0" xfId="0" applyNumberFormat="1" applyFont="1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9" fontId="0" fillId="0" borderId="0" xfId="1" applyFont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166" fontId="0" fillId="0" borderId="0" xfId="0" applyNumberFormat="1"/>
    <xf numFmtId="167" fontId="0" fillId="0" borderId="0" xfId="0" applyNumberFormat="1"/>
    <xf numFmtId="10" fontId="0" fillId="0" borderId="0" xfId="0" applyNumberFormat="1"/>
    <xf numFmtId="10" fontId="0" fillId="0" borderId="2" xfId="0" applyNumberFormat="1" applyBorder="1"/>
    <xf numFmtId="168" fontId="0" fillId="0" borderId="1" xfId="0" applyNumberFormat="1" applyBorder="1"/>
    <xf numFmtId="168" fontId="0" fillId="0" borderId="3" xfId="0" applyNumberFormat="1" applyBorder="1"/>
    <xf numFmtId="168" fontId="2" fillId="0" borderId="1" xfId="0" applyNumberFormat="1" applyFont="1" applyBorder="1"/>
    <xf numFmtId="0" fontId="2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0" fontId="0" fillId="0" borderId="0" xfId="0" applyNumberFormat="1" applyAlignment="1">
      <alignment vertical="center" wrapText="1"/>
    </xf>
    <xf numFmtId="0" fontId="0" fillId="0" borderId="5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5" xfId="0" applyBorder="1" applyAlignment="1">
      <alignment vertical="center"/>
    </xf>
    <xf numFmtId="0" fontId="0" fillId="0" borderId="0" xfId="0" applyBorder="1" applyAlignment="1">
      <alignment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2" fillId="0" borderId="4" xfId="0" applyFont="1" applyBorder="1" applyAlignment="1">
      <alignment horizontal="center" vertical="center" wrapText="1"/>
    </xf>
    <xf numFmtId="0" fontId="0" fillId="0" borderId="11" xfId="0" applyBorder="1" applyAlignment="1">
      <alignment vertical="center" wrapText="1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Font="1" applyAlignment="1">
      <alignment horizontal="center" vertical="center"/>
    </xf>
    <xf numFmtId="0" fontId="7" fillId="2" borderId="12" xfId="0" applyFont="1" applyFill="1" applyBorder="1" applyAlignment="1">
      <alignment horizontal="left" vertical="center"/>
    </xf>
    <xf numFmtId="0" fontId="2" fillId="3" borderId="13" xfId="0" applyFont="1" applyFill="1" applyBorder="1" applyAlignment="1">
      <alignment horizontal="center" vertical="center"/>
    </xf>
    <xf numFmtId="173" fontId="0" fillId="0" borderId="0" xfId="0" applyNumberFormat="1" applyAlignment="1">
      <alignment horizontal="right" vertical="center"/>
    </xf>
    <xf numFmtId="174" fontId="0" fillId="0" borderId="0" xfId="0" applyNumberFormat="1" applyAlignment="1">
      <alignment horizontal="right" vertical="center"/>
    </xf>
    <xf numFmtId="175" fontId="0" fillId="0" borderId="0" xfId="0" applyNumberFormat="1" applyAlignment="1">
      <alignment horizontal="right" vertical="center"/>
    </xf>
    <xf numFmtId="176" fontId="2" fillId="0" borderId="14" xfId="0" applyNumberFormat="1" applyFont="1" applyBorder="1" applyAlignment="1">
      <alignment horizontal="right" vertical="center"/>
    </xf>
    <xf numFmtId="176" fontId="8" fillId="4" borderId="15" xfId="0" applyNumberFormat="1" applyFont="1" applyFill="1" applyBorder="1" applyAlignment="1">
      <alignment horizontal="right" vertical="center"/>
    </xf>
    <xf numFmtId="177" fontId="2" fillId="0" borderId="14" xfId="0" applyNumberFormat="1" applyFont="1" applyBorder="1" applyAlignment="1">
      <alignment horizontal="right" vertic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1AD6235-9A20-4C5E-A0E8-74AB1B2B931C}">
  <we:reference id="wa200010215" version="2.0.0.0" store="en-GB" storeType="OMEX"/>
  <we:alternateReferences>
    <we:reference id="wa200010215" version="2.0.0.0" store="wa200010215" storeType="OMEX"/>
  </we:alternateReferences>
  <we:properties>
    <we:property name="bps.codex_control.document_id" value="&quot;20f59615-6e2f-4f48-8a83-e4c703e6170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5E06E-9B2E-4FA3-A49A-3E3DCF1084C7}">
  <dimension ref="A1:H58"/>
  <sheetViews>
    <sheetView tabSelected="1" topLeftCell="A26" zoomScaleNormal="100" workbookViewId="0">
      <selection activeCell="C43" sqref="C43"/>
    </sheetView>
  </sheetViews>
  <sheetFormatPr defaultRowHeight="15" x14ac:dyDescent="0.25"/>
  <cols>
    <col min="1" max="1" width="34.28515625" style="4" bestFit="1" customWidth="1"/>
    <col min="2" max="2" width="79.140625" style="4" bestFit="1" customWidth="1"/>
    <col min="3" max="3" width="51.28515625" style="4" bestFit="1" customWidth="1"/>
    <col min="4" max="4" width="9.140625" style="4"/>
    <col min="5" max="5" width="29.28515625" style="4" bestFit="1" customWidth="1"/>
    <col min="6" max="6" width="20.28515625" style="4" bestFit="1" customWidth="1"/>
    <col min="7" max="7" width="12.7109375" style="4" customWidth="1"/>
    <col min="8" max="16384" width="9.140625" style="4"/>
  </cols>
  <sheetData>
    <row r="1" spans="1:7" x14ac:dyDescent="0.25">
      <c r="A1" s="4" t="s">
        <v>0</v>
      </c>
    </row>
    <row r="3" spans="1:7" x14ac:dyDescent="0.25">
      <c r="E3" s="4" t="s">
        <v>1</v>
      </c>
      <c r="F3" s="4">
        <v>124</v>
      </c>
    </row>
    <row r="4" spans="1:7" x14ac:dyDescent="0.25">
      <c r="E4" s="4" t="s">
        <v>2</v>
      </c>
      <c r="F4" s="4">
        <v>62707424</v>
      </c>
    </row>
    <row r="5" spans="1:7" x14ac:dyDescent="0.25">
      <c r="E5" s="4" t="s">
        <v>3</v>
      </c>
      <c r="F5" s="4">
        <f>F3*F4</f>
        <v>7775720576</v>
      </c>
    </row>
    <row r="6" spans="1:7" x14ac:dyDescent="0.25">
      <c r="E6" s="4" t="s">
        <v>4</v>
      </c>
      <c r="F6" s="4">
        <f xml:space="preserve"> (117436+49403)*1000</f>
        <v>166839000</v>
      </c>
    </row>
    <row r="7" spans="1:7" x14ac:dyDescent="0.25">
      <c r="E7" s="4" t="s">
        <v>5</v>
      </c>
      <c r="F7" s="4">
        <f>0</f>
        <v>0</v>
      </c>
    </row>
    <row r="8" spans="1:7" x14ac:dyDescent="0.25">
      <c r="E8" s="4" t="s">
        <v>6</v>
      </c>
      <c r="F8" s="5">
        <f>F5-F6+F7</f>
        <v>7608881576</v>
      </c>
    </row>
    <row r="9" spans="1:7" x14ac:dyDescent="0.25">
      <c r="E9" s="5"/>
    </row>
    <row r="10" spans="1:7" x14ac:dyDescent="0.25">
      <c r="B10" s="6" t="s">
        <v>7</v>
      </c>
    </row>
    <row r="11" spans="1:7" s="7" customFormat="1" x14ac:dyDescent="0.25">
      <c r="E11" s="7">
        <v>1</v>
      </c>
    </row>
    <row r="12" spans="1:7" ht="30" x14ac:dyDescent="0.25">
      <c r="B12" s="8" t="s">
        <v>8</v>
      </c>
    </row>
    <row r="13" spans="1:7" ht="30" x14ac:dyDescent="0.25">
      <c r="B13" s="9" t="s">
        <v>9</v>
      </c>
    </row>
    <row r="14" spans="1:7" ht="45" x14ac:dyDescent="0.25">
      <c r="B14" s="8" t="s">
        <v>44</v>
      </c>
      <c r="C14" s="10">
        <v>0.99</v>
      </c>
    </row>
    <row r="15" spans="1:7" ht="15.75" thickBot="1" x14ac:dyDescent="0.3">
      <c r="B15" s="6"/>
    </row>
    <row r="16" spans="1:7" ht="15.75" thickBot="1" x14ac:dyDescent="0.3">
      <c r="B16" s="35" t="s">
        <v>60</v>
      </c>
      <c r="C16" s="38" t="s">
        <v>61</v>
      </c>
      <c r="E16" s="23" t="s">
        <v>63</v>
      </c>
      <c r="F16" s="23" t="s">
        <v>2</v>
      </c>
      <c r="G16" s="23" t="s">
        <v>64</v>
      </c>
    </row>
    <row r="17" spans="2:8" x14ac:dyDescent="0.25">
      <c r="B17" s="36"/>
      <c r="C17" s="26" t="s">
        <v>79</v>
      </c>
      <c r="E17" s="24" t="s">
        <v>65</v>
      </c>
      <c r="F17" s="8" t="s">
        <v>66</v>
      </c>
      <c r="G17" s="25">
        <v>0.1048</v>
      </c>
    </row>
    <row r="18" spans="2:8" x14ac:dyDescent="0.25">
      <c r="B18" s="36"/>
      <c r="C18" s="27"/>
      <c r="E18" s="24" t="s">
        <v>67</v>
      </c>
      <c r="F18" s="8" t="s">
        <v>68</v>
      </c>
      <c r="G18" s="25">
        <v>0.1043</v>
      </c>
    </row>
    <row r="19" spans="2:8" x14ac:dyDescent="0.25">
      <c r="B19" s="36"/>
      <c r="C19" s="27"/>
      <c r="E19" s="24" t="s">
        <v>69</v>
      </c>
      <c r="F19" s="8" t="s">
        <v>70</v>
      </c>
      <c r="G19" s="25">
        <v>8.9499999999999996E-2</v>
      </c>
    </row>
    <row r="20" spans="2:8" s="19" customFormat="1" ht="15.75" thickBot="1" x14ac:dyDescent="0.3">
      <c r="B20" s="36"/>
      <c r="C20" s="28"/>
      <c r="E20" s="24" t="s">
        <v>71</v>
      </c>
      <c r="F20" s="8" t="s">
        <v>72</v>
      </c>
      <c r="G20" s="25">
        <v>8.0500000000000002E-2</v>
      </c>
    </row>
    <row r="21" spans="2:8" ht="15.75" thickBot="1" x14ac:dyDescent="0.3">
      <c r="B21" s="36"/>
      <c r="C21" s="33" t="s">
        <v>62</v>
      </c>
      <c r="E21" s="24" t="s">
        <v>73</v>
      </c>
      <c r="F21" s="8" t="s">
        <v>74</v>
      </c>
      <c r="G21" s="25">
        <v>6.6699999999999995E-2</v>
      </c>
    </row>
    <row r="22" spans="2:8" x14ac:dyDescent="0.25">
      <c r="B22" s="36"/>
      <c r="C22" s="21"/>
      <c r="E22" s="24" t="s">
        <v>75</v>
      </c>
      <c r="F22" s="8" t="s">
        <v>76</v>
      </c>
      <c r="G22" s="25">
        <v>6.2199999999999998E-2</v>
      </c>
    </row>
    <row r="23" spans="2:8" x14ac:dyDescent="0.25">
      <c r="B23" s="36"/>
      <c r="C23" s="20"/>
      <c r="E23" s="24" t="s">
        <v>77</v>
      </c>
      <c r="F23" s="8" t="s">
        <v>78</v>
      </c>
      <c r="G23" s="25">
        <v>5.0500000000000003E-2</v>
      </c>
    </row>
    <row r="24" spans="2:8" x14ac:dyDescent="0.25">
      <c r="B24" s="36"/>
      <c r="C24" s="20"/>
    </row>
    <row r="25" spans="2:8" x14ac:dyDescent="0.25">
      <c r="B25" s="36"/>
      <c r="C25" s="20"/>
    </row>
    <row r="26" spans="2:8" ht="15.75" thickBot="1" x14ac:dyDescent="0.3">
      <c r="B26" s="37"/>
      <c r="C26" s="22"/>
    </row>
    <row r="27" spans="2:8" ht="15.75" thickBot="1" x14ac:dyDescent="0.3">
      <c r="B27" s="18"/>
      <c r="C27" s="34"/>
    </row>
    <row r="28" spans="2:8" ht="75.75" thickBot="1" x14ac:dyDescent="0.3">
      <c r="B28" s="39" t="s">
        <v>80</v>
      </c>
      <c r="C28" s="40" t="s">
        <v>84</v>
      </c>
      <c r="E28" s="8" t="s">
        <v>85</v>
      </c>
      <c r="F28" s="4" t="s">
        <v>86</v>
      </c>
      <c r="G28" s="6" t="s">
        <v>87</v>
      </c>
      <c r="H28" s="41">
        <f>(123-91)/91</f>
        <v>0.35164835164835168</v>
      </c>
    </row>
    <row r="29" spans="2:8" ht="60.75" thickBot="1" x14ac:dyDescent="0.3">
      <c r="C29" s="29"/>
      <c r="G29" s="23" t="s">
        <v>88</v>
      </c>
      <c r="H29" s="42">
        <f>(118.4 - 114.55)/114.55</f>
        <v>3.3609777389786197E-2</v>
      </c>
    </row>
    <row r="30" spans="2:8" x14ac:dyDescent="0.25">
      <c r="B30" s="21" t="s">
        <v>57</v>
      </c>
      <c r="C30" s="30" t="s">
        <v>81</v>
      </c>
    </row>
    <row r="31" spans="2:8" x14ac:dyDescent="0.25">
      <c r="B31" s="20"/>
      <c r="C31" s="31"/>
    </row>
    <row r="32" spans="2:8" x14ac:dyDescent="0.25">
      <c r="B32" s="20"/>
      <c r="C32" s="31"/>
    </row>
    <row r="33" spans="1:6" ht="15.75" thickBot="1" x14ac:dyDescent="0.3">
      <c r="B33" s="20"/>
      <c r="C33" s="32"/>
    </row>
    <row r="34" spans="1:6" x14ac:dyDescent="0.25">
      <c r="B34" s="21" t="s">
        <v>58</v>
      </c>
      <c r="C34" s="31" t="s">
        <v>82</v>
      </c>
    </row>
    <row r="35" spans="1:6" x14ac:dyDescent="0.25">
      <c r="B35" s="20"/>
      <c r="C35" s="31"/>
    </row>
    <row r="36" spans="1:6" x14ac:dyDescent="0.25">
      <c r="B36" s="20"/>
      <c r="C36" s="31"/>
    </row>
    <row r="37" spans="1:6" ht="15.75" thickBot="1" x14ac:dyDescent="0.3">
      <c r="B37" s="22"/>
      <c r="C37" s="32"/>
    </row>
    <row r="38" spans="1:6" x14ac:dyDescent="0.25">
      <c r="B38" s="21" t="s">
        <v>59</v>
      </c>
      <c r="C38" s="21" t="s">
        <v>83</v>
      </c>
    </row>
    <row r="39" spans="1:6" x14ac:dyDescent="0.25">
      <c r="B39" s="20"/>
      <c r="C39" s="20"/>
    </row>
    <row r="40" spans="1:6" x14ac:dyDescent="0.25">
      <c r="B40" s="20"/>
      <c r="C40" s="20"/>
    </row>
    <row r="41" spans="1:6" ht="15.75" thickBot="1" x14ac:dyDescent="0.3">
      <c r="B41" s="22"/>
      <c r="C41" s="22"/>
    </row>
    <row r="43" spans="1:6" ht="15.75" thickBot="1" x14ac:dyDescent="0.3">
      <c r="A43" s="43" t="s">
        <v>89</v>
      </c>
    </row>
    <row r="44" spans="1:6" ht="15.75" thickTop="1" x14ac:dyDescent="0.25"/>
    <row r="45" spans="1:6" x14ac:dyDescent="0.25">
      <c r="A45" s="44" t="s">
        <v>90</v>
      </c>
      <c r="E45" s="44" t="s">
        <v>96</v>
      </c>
    </row>
    <row r="46" spans="1:6" x14ac:dyDescent="0.25">
      <c r="A46" s="4">
        <v>1</v>
      </c>
      <c r="B46" s="4" t="s">
        <v>91</v>
      </c>
      <c r="E46" s="4" t="s">
        <v>97</v>
      </c>
      <c r="F46" s="45">
        <f>SUM(Model!S6:V6)</f>
        <v>431.798</v>
      </c>
    </row>
    <row r="47" spans="1:6" x14ac:dyDescent="0.25">
      <c r="A47" s="4">
        <v>2</v>
      </c>
      <c r="B47" s="4" t="s">
        <v>92</v>
      </c>
      <c r="E47" s="4" t="s">
        <v>98</v>
      </c>
      <c r="F47" s="46">
        <f>SUM(Model!S12:V12)/SUM(Model!S6:V6)</f>
        <v>0.51965270797919394</v>
      </c>
    </row>
    <row r="48" spans="1:6" x14ac:dyDescent="0.25">
      <c r="A48" s="4">
        <v>3</v>
      </c>
      <c r="B48" s="4" t="s">
        <v>93</v>
      </c>
      <c r="E48" s="4" t="s">
        <v>99</v>
      </c>
      <c r="F48" s="47">
        <f>SUM(Model!S13:V13)/SUM(Model!S6:V6)</f>
        <v>-0.31906817539682908</v>
      </c>
    </row>
    <row r="49" spans="1:6" ht="15.75" thickBot="1" x14ac:dyDescent="0.3">
      <c r="A49" s="4">
        <v>4</v>
      </c>
      <c r="B49" s="4" t="s">
        <v>94</v>
      </c>
      <c r="E49" s="4" t="s">
        <v>100</v>
      </c>
      <c r="F49" s="45">
        <f>F8/1000000</f>
        <v>7608.8815759999998</v>
      </c>
    </row>
    <row r="50" spans="1:6" ht="15.75" thickBot="1" x14ac:dyDescent="0.3">
      <c r="A50" s="4">
        <v>5</v>
      </c>
      <c r="B50" s="4" t="s">
        <v>95</v>
      </c>
      <c r="E50" s="4" t="s">
        <v>101</v>
      </c>
      <c r="F50" s="48">
        <f>F49/F46</f>
        <v>17.621391428399392</v>
      </c>
    </row>
    <row r="51" spans="1:6" x14ac:dyDescent="0.25">
      <c r="E51" s="4" t="s">
        <v>102</v>
      </c>
      <c r="F51" s="46">
        <f>SUM(Model!S6:V6)/SUM(Model!O6:R6)-1</f>
        <v>0.19191328086829529</v>
      </c>
    </row>
    <row r="53" spans="1:6" x14ac:dyDescent="0.25">
      <c r="A53" s="44" t="s">
        <v>108</v>
      </c>
      <c r="E53" s="4" t="s">
        <v>103</v>
      </c>
      <c r="F53" s="49"/>
    </row>
    <row r="54" spans="1:6" x14ac:dyDescent="0.25">
      <c r="A54" s="4" t="s">
        <v>109</v>
      </c>
      <c r="B54" s="4" t="s">
        <v>110</v>
      </c>
      <c r="E54" s="4" t="s">
        <v>104</v>
      </c>
      <c r="F54" s="45">
        <f>F46*(1+F51)</f>
        <v>514.66577085236815</v>
      </c>
    </row>
    <row r="55" spans="1:6" x14ac:dyDescent="0.25">
      <c r="A55" s="4" t="s">
        <v>111</v>
      </c>
      <c r="B55" s="4" t="s">
        <v>112</v>
      </c>
      <c r="E55" s="4" t="s">
        <v>105</v>
      </c>
      <c r="F55" s="45" t="str">
        <f>IF(F53="","",F53*F54)</f>
        <v/>
      </c>
    </row>
    <row r="56" spans="1:6" ht="15.75" thickBot="1" x14ac:dyDescent="0.3">
      <c r="A56" s="4" t="s">
        <v>113</v>
      </c>
      <c r="B56" s="4" t="s">
        <v>114</v>
      </c>
      <c r="E56" s="4" t="s">
        <v>106</v>
      </c>
      <c r="F56" s="45" t="str">
        <f>IF(F55="","",F55+F6/1000000-F7/1000000)</f>
        <v/>
      </c>
    </row>
    <row r="57" spans="1:6" ht="15.75" thickBot="1" x14ac:dyDescent="0.3">
      <c r="A57" s="4" t="s">
        <v>115</v>
      </c>
      <c r="B57" s="4" t="s">
        <v>116</v>
      </c>
      <c r="E57" s="4" t="s">
        <v>107</v>
      </c>
      <c r="F57" s="50" t="str">
        <f>IF(F56="","",F56/(F4/1000000))</f>
        <v/>
      </c>
    </row>
    <row r="58" spans="1:6" x14ac:dyDescent="0.25">
      <c r="A58" s="4" t="s">
        <v>117</v>
      </c>
      <c r="B58" s="4" t="s">
        <v>118</v>
      </c>
    </row>
  </sheetData>
  <mergeCells count="9">
    <mergeCell ref="C22:C26"/>
    <mergeCell ref="B16:B26"/>
    <mergeCell ref="C38:C41"/>
    <mergeCell ref="B30:B33"/>
    <mergeCell ref="B34:B37"/>
    <mergeCell ref="B38:B41"/>
    <mergeCell ref="C30:C33"/>
    <mergeCell ref="C34:C37"/>
    <mergeCell ref="C17:C20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31551-61C1-4FAC-A3EE-2EABFB95B828}">
  <dimension ref="A1:AS40"/>
  <sheetViews>
    <sheetView zoomScale="85" zoomScaleNormal="85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3" sqref="C23"/>
    </sheetView>
  </sheetViews>
  <sheetFormatPr defaultRowHeight="15" x14ac:dyDescent="0.25"/>
  <cols>
    <col min="1" max="1" width="9.140625" style="1"/>
    <col min="2" max="2" width="19.140625" style="1" bestFit="1" customWidth="1"/>
    <col min="3" max="3" width="30.28515625" style="1" bestFit="1" customWidth="1"/>
    <col min="4" max="4" width="9.140625" style="2"/>
    <col min="5" max="17" width="9.140625" style="1"/>
    <col min="18" max="18" width="9.7109375" style="1" bestFit="1" customWidth="1"/>
    <col min="19" max="16384" width="9.140625" style="1"/>
  </cols>
  <sheetData>
    <row r="1" spans="1:45" x14ac:dyDescent="0.25">
      <c r="A1" s="1" t="s">
        <v>10</v>
      </c>
      <c r="B1" s="3" t="s">
        <v>46</v>
      </c>
    </row>
    <row r="4" spans="1:45" s="15" customFormat="1" x14ac:dyDescent="0.25">
      <c r="D4" s="16" t="s">
        <v>11</v>
      </c>
      <c r="E4" s="15" t="s">
        <v>12</v>
      </c>
      <c r="F4" s="15" t="s">
        <v>13</v>
      </c>
      <c r="G4" s="15" t="s">
        <v>14</v>
      </c>
      <c r="H4" s="15" t="s">
        <v>15</v>
      </c>
      <c r="I4" s="15" t="s">
        <v>16</v>
      </c>
      <c r="J4" s="15" t="s">
        <v>17</v>
      </c>
      <c r="K4" s="15" t="s">
        <v>18</v>
      </c>
      <c r="L4" s="15" t="s">
        <v>19</v>
      </c>
      <c r="M4" s="15" t="s">
        <v>20</v>
      </c>
      <c r="N4" s="15" t="s">
        <v>21</v>
      </c>
      <c r="O4" s="15" t="s">
        <v>22</v>
      </c>
      <c r="P4" s="15" t="s">
        <v>23</v>
      </c>
      <c r="Q4" s="15" t="s">
        <v>24</v>
      </c>
      <c r="R4" s="15" t="s">
        <v>25</v>
      </c>
      <c r="S4" s="15" t="s">
        <v>26</v>
      </c>
      <c r="T4" s="15" t="s">
        <v>27</v>
      </c>
      <c r="U4" s="15" t="s">
        <v>28</v>
      </c>
      <c r="V4" s="15" t="s">
        <v>29</v>
      </c>
      <c r="W4" s="15" t="s">
        <v>47</v>
      </c>
      <c r="X4" s="15" t="s">
        <v>48</v>
      </c>
      <c r="Y4" s="15" t="s">
        <v>49</v>
      </c>
      <c r="Z4" s="15" t="s">
        <v>50</v>
      </c>
      <c r="AA4" s="15" t="s">
        <v>51</v>
      </c>
      <c r="AH4" s="17" t="s">
        <v>56</v>
      </c>
      <c r="AI4" s="15">
        <v>2022</v>
      </c>
      <c r="AJ4" s="15">
        <v>2023</v>
      </c>
      <c r="AK4" s="15">
        <v>2024</v>
      </c>
      <c r="AL4" s="15">
        <v>2025</v>
      </c>
      <c r="AM4" s="15">
        <v>2026</v>
      </c>
      <c r="AN4" s="15">
        <v>2027</v>
      </c>
      <c r="AO4" s="15">
        <v>2028</v>
      </c>
      <c r="AP4" s="15">
        <v>2029</v>
      </c>
      <c r="AQ4" s="15">
        <v>2030</v>
      </c>
      <c r="AR4" s="15">
        <v>2031</v>
      </c>
      <c r="AS4" s="15">
        <v>2032</v>
      </c>
    </row>
    <row r="6" spans="1:45" x14ac:dyDescent="0.25">
      <c r="C6" s="3" t="s">
        <v>30</v>
      </c>
      <c r="D6" s="2">
        <v>42.018000000000001</v>
      </c>
      <c r="E6" s="1">
        <v>48.127000000000002</v>
      </c>
      <c r="F6" s="1">
        <v>56.113</v>
      </c>
      <c r="G6" s="1">
        <v>57.305999999999997</v>
      </c>
      <c r="H6" s="1">
        <v>54.243000000000002</v>
      </c>
      <c r="I6" s="1">
        <v>60.18</v>
      </c>
      <c r="J6" s="1">
        <v>63.74</v>
      </c>
      <c r="K6" s="1">
        <v>66.945999999999998</v>
      </c>
      <c r="L6" s="1">
        <v>71.498000000000005</v>
      </c>
      <c r="M6" s="1">
        <v>75.302000000000007</v>
      </c>
      <c r="N6" s="1">
        <v>81.463999999999999</v>
      </c>
      <c r="O6" s="1">
        <v>84.71</v>
      </c>
      <c r="P6" s="1">
        <v>88.712999999999994</v>
      </c>
      <c r="Q6" s="1">
        <v>92.793000000000006</v>
      </c>
      <c r="R6" s="1">
        <v>96.057000000000002</v>
      </c>
      <c r="S6" s="1">
        <v>99.009</v>
      </c>
      <c r="T6" s="1">
        <v>103.69799999999999</v>
      </c>
      <c r="U6" s="1">
        <v>110.715</v>
      </c>
      <c r="V6" s="1">
        <v>118.376</v>
      </c>
    </row>
    <row r="7" spans="1:45" x14ac:dyDescent="0.25">
      <c r="C7" s="1" t="s">
        <v>31</v>
      </c>
      <c r="D7" s="2">
        <v>27.056000000000001</v>
      </c>
      <c r="E7" s="1">
        <v>29.713999999999999</v>
      </c>
      <c r="F7" s="1">
        <v>30.974</v>
      </c>
      <c r="G7" s="1">
        <v>31.585999999999999</v>
      </c>
      <c r="H7" s="1">
        <v>29.442</v>
      </c>
      <c r="I7" s="1">
        <v>41.668999999999997</v>
      </c>
      <c r="J7" s="1">
        <v>41.844999999999999</v>
      </c>
      <c r="K7" s="1">
        <v>42.423999999999999</v>
      </c>
      <c r="L7" s="1">
        <v>42.536000000000001</v>
      </c>
      <c r="M7" s="1">
        <v>44.42</v>
      </c>
      <c r="N7" s="1">
        <v>46.192999999999998</v>
      </c>
      <c r="O7" s="1">
        <v>46.476999999999997</v>
      </c>
      <c r="P7" s="1">
        <v>45.872999999999998</v>
      </c>
      <c r="Q7" s="1">
        <v>46.765000000000001</v>
      </c>
      <c r="R7" s="1">
        <v>44.76</v>
      </c>
      <c r="S7" s="1">
        <v>48.171999999999997</v>
      </c>
      <c r="T7" s="1">
        <v>49.725999999999999</v>
      </c>
      <c r="U7" s="1">
        <v>53.593000000000004</v>
      </c>
      <c r="V7" s="1">
        <v>55.921999999999997</v>
      </c>
    </row>
    <row r="8" spans="1:45" x14ac:dyDescent="0.25">
      <c r="C8" s="1" t="s">
        <v>32</v>
      </c>
      <c r="D8" s="2">
        <v>22.63</v>
      </c>
      <c r="E8" s="1">
        <v>31.231000000000002</v>
      </c>
      <c r="F8" s="1">
        <v>36.840000000000003</v>
      </c>
      <c r="G8" s="1">
        <v>29.606000000000002</v>
      </c>
      <c r="H8" s="1">
        <v>31.242000000000001</v>
      </c>
      <c r="I8" s="1">
        <v>27.379000000000001</v>
      </c>
      <c r="J8" s="1">
        <v>24.527999999999999</v>
      </c>
      <c r="K8" s="1">
        <v>23.745000000000001</v>
      </c>
      <c r="L8" s="1">
        <v>23.099</v>
      </c>
      <c r="M8" s="1">
        <v>24.149000000000001</v>
      </c>
      <c r="N8" s="1">
        <v>22.469000000000001</v>
      </c>
      <c r="O8" s="1">
        <v>21.134</v>
      </c>
      <c r="P8" s="1">
        <v>21.306999999999999</v>
      </c>
      <c r="Q8" s="1">
        <v>23.917000000000002</v>
      </c>
      <c r="R8" s="1">
        <v>18.047000000000001</v>
      </c>
      <c r="S8" s="1">
        <v>17.013999999999999</v>
      </c>
      <c r="T8" s="1">
        <v>17.13</v>
      </c>
      <c r="U8" s="1">
        <v>19.695</v>
      </c>
      <c r="V8" s="1">
        <v>18.024999999999999</v>
      </c>
    </row>
    <row r="9" spans="1:45" x14ac:dyDescent="0.25">
      <c r="C9" s="1" t="s">
        <v>33</v>
      </c>
      <c r="D9" s="2">
        <v>51.097999999999999</v>
      </c>
      <c r="E9" s="1">
        <v>53.997999999999998</v>
      </c>
      <c r="F9" s="1">
        <v>53.692999999999998</v>
      </c>
      <c r="G9" s="1">
        <v>54.158999999999999</v>
      </c>
      <c r="H9" s="1">
        <v>42.323999999999998</v>
      </c>
      <c r="I9" s="1">
        <v>53.965000000000003</v>
      </c>
      <c r="J9" s="1">
        <v>46.057000000000002</v>
      </c>
      <c r="K9" s="1">
        <v>47.390999999999998</v>
      </c>
      <c r="L9" s="1">
        <v>52.84</v>
      </c>
      <c r="M9" s="1">
        <v>55.622</v>
      </c>
      <c r="N9" s="1">
        <v>56.793999999999997</v>
      </c>
      <c r="O9" s="1">
        <v>53.143000000000001</v>
      </c>
      <c r="P9" s="1">
        <v>56.177</v>
      </c>
      <c r="Q9" s="1">
        <v>63.670999999999999</v>
      </c>
      <c r="R9" s="1">
        <v>63.37</v>
      </c>
      <c r="S9" s="1">
        <v>63.758000000000003</v>
      </c>
      <c r="T9" s="1">
        <v>69.742000000000004</v>
      </c>
      <c r="U9" s="1">
        <v>76.084999999999994</v>
      </c>
      <c r="V9" s="1">
        <v>80.709000000000003</v>
      </c>
    </row>
    <row r="10" spans="1:45" x14ac:dyDescent="0.25">
      <c r="C10" s="1" t="s">
        <v>45</v>
      </c>
      <c r="D10" s="2">
        <v>-2.8260000000000001</v>
      </c>
      <c r="E10" s="1">
        <v>-6.0140000000000002</v>
      </c>
      <c r="F10" s="1">
        <v>-4.2309999999999999</v>
      </c>
      <c r="G10" s="1">
        <v>-1.1739999999999999</v>
      </c>
      <c r="H10" s="1">
        <v>-4.1349999999999998</v>
      </c>
      <c r="I10" s="1">
        <v>-1.196</v>
      </c>
      <c r="J10" s="1">
        <v>15.711</v>
      </c>
      <c r="K10" s="1">
        <v>3.4969999999999999</v>
      </c>
      <c r="L10" s="1">
        <v>0</v>
      </c>
      <c r="M10" s="1">
        <v>0</v>
      </c>
      <c r="N10" s="1">
        <v>44.93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7.2050000000000001</v>
      </c>
      <c r="V10" s="1">
        <v>0</v>
      </c>
    </row>
    <row r="11" spans="1:45" x14ac:dyDescent="0.25">
      <c r="C11" s="3" t="s">
        <v>36</v>
      </c>
      <c r="D11" s="1">
        <f t="shared" ref="D11:U11" si="0">SUM(D7:D10)</f>
        <v>97.957999999999998</v>
      </c>
      <c r="E11" s="1">
        <f t="shared" si="0"/>
        <v>108.929</v>
      </c>
      <c r="F11" s="1">
        <f t="shared" si="0"/>
        <v>117.27600000000001</v>
      </c>
      <c r="G11" s="1">
        <f t="shared" si="0"/>
        <v>114.17699999999999</v>
      </c>
      <c r="H11" s="1">
        <f t="shared" si="0"/>
        <v>98.87299999999999</v>
      </c>
      <c r="I11" s="1">
        <f t="shared" si="0"/>
        <v>121.81700000000001</v>
      </c>
      <c r="J11" s="1">
        <f t="shared" si="0"/>
        <v>128.14099999999999</v>
      </c>
      <c r="K11" s="1">
        <f t="shared" si="0"/>
        <v>117.057</v>
      </c>
      <c r="L11" s="1">
        <f t="shared" si="0"/>
        <v>118.47500000000001</v>
      </c>
      <c r="M11" s="1">
        <f t="shared" si="0"/>
        <v>124.191</v>
      </c>
      <c r="N11" s="1">
        <f t="shared" si="0"/>
        <v>170.386</v>
      </c>
      <c r="O11" s="1">
        <f t="shared" si="0"/>
        <v>120.75399999999999</v>
      </c>
      <c r="P11" s="1">
        <f t="shared" si="0"/>
        <v>123.357</v>
      </c>
      <c r="Q11" s="1">
        <f t="shared" si="0"/>
        <v>134.35300000000001</v>
      </c>
      <c r="R11" s="1">
        <f t="shared" si="0"/>
        <v>126.17699999999999</v>
      </c>
      <c r="S11" s="1">
        <f t="shared" si="0"/>
        <v>128.94399999999999</v>
      </c>
      <c r="T11" s="1">
        <f t="shared" si="0"/>
        <v>136.59800000000001</v>
      </c>
      <c r="U11" s="1">
        <f t="shared" si="0"/>
        <v>156.578</v>
      </c>
      <c r="V11" s="1">
        <f>SUM(V7:V10)</f>
        <v>154.65600000000001</v>
      </c>
    </row>
    <row r="12" spans="1:45" x14ac:dyDescent="0.25">
      <c r="C12" s="3" t="s">
        <v>34</v>
      </c>
      <c r="D12" s="1">
        <f t="shared" ref="D12:U12" si="1">D6-D7</f>
        <v>14.962</v>
      </c>
      <c r="E12" s="1">
        <f t="shared" si="1"/>
        <v>18.413000000000004</v>
      </c>
      <c r="F12" s="1">
        <f t="shared" si="1"/>
        <v>25.138999999999999</v>
      </c>
      <c r="G12" s="1">
        <f t="shared" si="1"/>
        <v>25.72</v>
      </c>
      <c r="H12" s="1">
        <f t="shared" si="1"/>
        <v>24.801000000000002</v>
      </c>
      <c r="I12" s="1">
        <f t="shared" si="1"/>
        <v>18.511000000000003</v>
      </c>
      <c r="J12" s="1">
        <f t="shared" si="1"/>
        <v>21.895000000000003</v>
      </c>
      <c r="K12" s="1">
        <f t="shared" si="1"/>
        <v>24.521999999999998</v>
      </c>
      <c r="L12" s="1">
        <f t="shared" si="1"/>
        <v>28.962000000000003</v>
      </c>
      <c r="M12" s="1">
        <f t="shared" si="1"/>
        <v>30.882000000000005</v>
      </c>
      <c r="N12" s="1">
        <f t="shared" si="1"/>
        <v>35.271000000000001</v>
      </c>
      <c r="O12" s="1">
        <f t="shared" si="1"/>
        <v>38.232999999999997</v>
      </c>
      <c r="P12" s="1">
        <f t="shared" si="1"/>
        <v>42.839999999999996</v>
      </c>
      <c r="Q12" s="1">
        <f t="shared" si="1"/>
        <v>46.028000000000006</v>
      </c>
      <c r="R12" s="1">
        <f t="shared" si="1"/>
        <v>51.297000000000004</v>
      </c>
      <c r="S12" s="1">
        <f t="shared" si="1"/>
        <v>50.837000000000003</v>
      </c>
      <c r="T12" s="1">
        <f t="shared" si="1"/>
        <v>53.971999999999994</v>
      </c>
      <c r="U12" s="1">
        <f t="shared" si="1"/>
        <v>57.122</v>
      </c>
      <c r="V12" s="1">
        <f>V6-V7</f>
        <v>62.454000000000008</v>
      </c>
    </row>
    <row r="13" spans="1:45" x14ac:dyDescent="0.25">
      <c r="C13" s="3" t="s">
        <v>40</v>
      </c>
      <c r="D13" s="1">
        <f t="shared" ref="D13:U13" si="2">D6-D7-D8-D9</f>
        <v>-58.765999999999998</v>
      </c>
      <c r="E13" s="1">
        <f t="shared" si="2"/>
        <v>-66.816000000000003</v>
      </c>
      <c r="F13" s="1">
        <f t="shared" si="2"/>
        <v>-65.394000000000005</v>
      </c>
      <c r="G13" s="1">
        <f t="shared" si="2"/>
        <v>-58.045000000000002</v>
      </c>
      <c r="H13" s="1">
        <f t="shared" si="2"/>
        <v>-48.765000000000001</v>
      </c>
      <c r="I13" s="1">
        <f t="shared" si="2"/>
        <v>-62.832999999999998</v>
      </c>
      <c r="J13" s="1">
        <f t="shared" si="2"/>
        <v>-48.69</v>
      </c>
      <c r="K13" s="1">
        <f t="shared" si="2"/>
        <v>-46.614000000000004</v>
      </c>
      <c r="L13" s="1">
        <f t="shared" si="2"/>
        <v>-46.977000000000004</v>
      </c>
      <c r="M13" s="1">
        <f t="shared" si="2"/>
        <v>-48.888999999999996</v>
      </c>
      <c r="N13" s="1">
        <f t="shared" si="2"/>
        <v>-43.991999999999997</v>
      </c>
      <c r="O13" s="1">
        <f t="shared" si="2"/>
        <v>-36.044000000000004</v>
      </c>
      <c r="P13" s="1">
        <f t="shared" si="2"/>
        <v>-34.644000000000005</v>
      </c>
      <c r="Q13" s="1">
        <f t="shared" si="2"/>
        <v>-41.559999999999995</v>
      </c>
      <c r="R13" s="1">
        <f t="shared" si="2"/>
        <v>-30.119999999999997</v>
      </c>
      <c r="S13" s="1">
        <f t="shared" si="2"/>
        <v>-29.934999999999995</v>
      </c>
      <c r="T13" s="1">
        <f t="shared" si="2"/>
        <v>-32.900000000000006</v>
      </c>
      <c r="U13" s="1">
        <f t="shared" si="2"/>
        <v>-38.657999999999994</v>
      </c>
      <c r="V13" s="1">
        <f>V6-V7-V8-V9</f>
        <v>-36.279999999999994</v>
      </c>
    </row>
    <row r="14" spans="1:45" x14ac:dyDescent="0.25">
      <c r="C14" s="1" t="s">
        <v>35</v>
      </c>
      <c r="D14" s="2">
        <v>0.154</v>
      </c>
      <c r="E14" s="1">
        <v>0.25900000000000001</v>
      </c>
      <c r="F14" s="1">
        <v>0.72199999999999998</v>
      </c>
      <c r="G14" s="1">
        <v>1.9279999999999999</v>
      </c>
      <c r="H14" s="1">
        <v>3.04</v>
      </c>
      <c r="I14" s="1">
        <v>3.464</v>
      </c>
      <c r="J14" s="1">
        <v>3.968</v>
      </c>
      <c r="K14" s="1">
        <v>3.8929999999999998</v>
      </c>
      <c r="L14" s="1">
        <v>4.12</v>
      </c>
      <c r="M14" s="1">
        <v>3.9409999999999998</v>
      </c>
      <c r="N14" s="1">
        <v>3.6629999999999998</v>
      </c>
      <c r="O14" s="1">
        <v>3.62</v>
      </c>
      <c r="P14" s="1">
        <v>3.24</v>
      </c>
      <c r="Q14" s="1">
        <v>2.8010000000000002</v>
      </c>
      <c r="R14" s="1">
        <v>2.69</v>
      </c>
      <c r="S14" s="1">
        <v>2.633</v>
      </c>
      <c r="T14" s="1">
        <v>2.1749999999999998</v>
      </c>
      <c r="U14" s="1">
        <v>1.71</v>
      </c>
      <c r="V14" s="1">
        <v>1.5</v>
      </c>
    </row>
    <row r="15" spans="1:45" x14ac:dyDescent="0.25">
      <c r="C15" s="1" t="s">
        <v>37</v>
      </c>
      <c r="D15" s="2">
        <v>-0.156</v>
      </c>
      <c r="E15" s="1">
        <v>-0.245</v>
      </c>
      <c r="F15" s="1">
        <v>-0.22500000000000001</v>
      </c>
      <c r="G15" s="1">
        <v>-0.46100000000000002</v>
      </c>
      <c r="H15" s="1">
        <v>-0.157</v>
      </c>
      <c r="I15" s="1">
        <v>-0.30499999999999999</v>
      </c>
      <c r="J15" s="1">
        <v>4.1000000000000002E-2</v>
      </c>
      <c r="K15" s="1">
        <v>-0.245</v>
      </c>
      <c r="L15" s="1">
        <v>-3.1E-2</v>
      </c>
      <c r="M15" s="1">
        <v>-0.19900000000000001</v>
      </c>
      <c r="N15" s="1">
        <v>-0.121</v>
      </c>
      <c r="O15" s="1">
        <v>-2.327</v>
      </c>
      <c r="P15" s="1">
        <v>-9.2999999999999999E-2</v>
      </c>
      <c r="Q15" s="1">
        <v>-0.39400000000000002</v>
      </c>
      <c r="R15" s="1">
        <v>-0.83599999999999997</v>
      </c>
      <c r="S15" s="1">
        <v>0.42</v>
      </c>
      <c r="T15" s="1">
        <v>0.47099999999999997</v>
      </c>
      <c r="U15" s="1">
        <v>0.17499999999999999</v>
      </c>
      <c r="V15" s="1">
        <v>0.04</v>
      </c>
    </row>
    <row r="16" spans="1:45" x14ac:dyDescent="0.25">
      <c r="C16" s="3" t="s">
        <v>38</v>
      </c>
      <c r="D16" s="1">
        <f t="shared" ref="D16:U16" si="3">D13+D14+D15</f>
        <v>-58.767999999999994</v>
      </c>
      <c r="E16" s="1">
        <f t="shared" si="3"/>
        <v>-66.802000000000007</v>
      </c>
      <c r="F16" s="1">
        <f t="shared" si="3"/>
        <v>-64.897000000000006</v>
      </c>
      <c r="G16" s="1">
        <f t="shared" si="3"/>
        <v>-56.578000000000003</v>
      </c>
      <c r="H16" s="1">
        <f t="shared" si="3"/>
        <v>-45.881999999999998</v>
      </c>
      <c r="I16" s="1">
        <f t="shared" si="3"/>
        <v>-59.673999999999999</v>
      </c>
      <c r="J16" s="1">
        <f t="shared" si="3"/>
        <v>-44.680999999999997</v>
      </c>
      <c r="K16" s="1">
        <f t="shared" si="3"/>
        <v>-42.966000000000001</v>
      </c>
      <c r="L16" s="1">
        <f t="shared" si="3"/>
        <v>-42.888000000000005</v>
      </c>
      <c r="M16" s="1">
        <f t="shared" si="3"/>
        <v>-45.146999999999991</v>
      </c>
      <c r="N16" s="1">
        <f t="shared" si="3"/>
        <v>-40.450000000000003</v>
      </c>
      <c r="O16" s="1">
        <f t="shared" si="3"/>
        <v>-34.751000000000005</v>
      </c>
      <c r="P16" s="1">
        <f t="shared" si="3"/>
        <v>-31.497000000000003</v>
      </c>
      <c r="Q16" s="1">
        <f t="shared" si="3"/>
        <v>-39.152999999999992</v>
      </c>
      <c r="R16" s="1">
        <f t="shared" si="3"/>
        <v>-28.265999999999995</v>
      </c>
      <c r="S16" s="1">
        <f t="shared" si="3"/>
        <v>-26.881999999999994</v>
      </c>
      <c r="T16" s="1">
        <f t="shared" si="3"/>
        <v>-30.254000000000005</v>
      </c>
      <c r="U16" s="1">
        <f t="shared" si="3"/>
        <v>-36.772999999999996</v>
      </c>
      <c r="V16" s="1">
        <f>V13+V14+V15</f>
        <v>-34.739999999999995</v>
      </c>
    </row>
    <row r="17" spans="3:26" x14ac:dyDescent="0.25">
      <c r="C17" s="1" t="s">
        <v>39</v>
      </c>
      <c r="D17" s="2">
        <v>10.404999999999999</v>
      </c>
      <c r="E17" s="1">
        <v>0.14899999999999999</v>
      </c>
      <c r="F17" s="1">
        <v>0.14899999999999999</v>
      </c>
      <c r="G17" s="1">
        <v>-0.29199999999999998</v>
      </c>
      <c r="H17" s="1">
        <v>-7.5999999999999998E-2</v>
      </c>
      <c r="I17" s="1">
        <v>-0.67600000000000005</v>
      </c>
      <c r="J17" s="1">
        <v>-0.622</v>
      </c>
      <c r="K17" s="1">
        <v>0.221</v>
      </c>
      <c r="L17" s="1">
        <v>-0.12</v>
      </c>
      <c r="M17" s="1">
        <v>-0.34499999999999997</v>
      </c>
      <c r="N17" s="1">
        <v>-0.191</v>
      </c>
      <c r="O17" s="1">
        <v>9.6000000000000002E-2</v>
      </c>
      <c r="P17" s="1">
        <v>-9.7000000000000003E-2</v>
      </c>
      <c r="Q17" s="1">
        <v>-0.17499999999999999</v>
      </c>
      <c r="R17" s="1">
        <v>-0.191</v>
      </c>
      <c r="S17" s="1">
        <v>-0.25600000000000001</v>
      </c>
      <c r="T17" s="1">
        <v>-0.253</v>
      </c>
      <c r="U17" s="1">
        <v>-4.2999999999999997E-2</v>
      </c>
      <c r="V17" s="1">
        <v>-0.311</v>
      </c>
    </row>
    <row r="18" spans="3:26" x14ac:dyDescent="0.25">
      <c r="C18" s="3" t="s">
        <v>41</v>
      </c>
      <c r="D18" s="1">
        <f t="shared" ref="D18:U18" si="4">D17+D16</f>
        <v>-48.362999999999992</v>
      </c>
      <c r="E18" s="1">
        <f t="shared" si="4"/>
        <v>-66.653000000000006</v>
      </c>
      <c r="F18" s="1">
        <f t="shared" si="4"/>
        <v>-64.748000000000005</v>
      </c>
      <c r="G18" s="1">
        <f t="shared" si="4"/>
        <v>-56.870000000000005</v>
      </c>
      <c r="H18" s="1">
        <f t="shared" si="4"/>
        <v>-45.957999999999998</v>
      </c>
      <c r="I18" s="1">
        <f t="shared" si="4"/>
        <v>-60.35</v>
      </c>
      <c r="J18" s="1">
        <f t="shared" si="4"/>
        <v>-45.302999999999997</v>
      </c>
      <c r="K18" s="1">
        <f t="shared" si="4"/>
        <v>-42.745000000000005</v>
      </c>
      <c r="L18" s="1">
        <f t="shared" si="4"/>
        <v>-43.008000000000003</v>
      </c>
      <c r="M18" s="1">
        <f t="shared" si="4"/>
        <v>-45.49199999999999</v>
      </c>
      <c r="N18" s="1">
        <f t="shared" si="4"/>
        <v>-40.641000000000005</v>
      </c>
      <c r="O18" s="1">
        <f t="shared" si="4"/>
        <v>-34.655000000000008</v>
      </c>
      <c r="P18" s="1">
        <f t="shared" si="4"/>
        <v>-31.594000000000005</v>
      </c>
      <c r="Q18" s="1">
        <f t="shared" si="4"/>
        <v>-39.327999999999989</v>
      </c>
      <c r="R18" s="1">
        <f t="shared" si="4"/>
        <v>-28.456999999999994</v>
      </c>
      <c r="S18" s="1">
        <f t="shared" si="4"/>
        <v>-27.137999999999995</v>
      </c>
      <c r="T18" s="1">
        <f t="shared" si="4"/>
        <v>-30.507000000000005</v>
      </c>
      <c r="U18" s="1">
        <f t="shared" si="4"/>
        <v>-36.815999999999995</v>
      </c>
      <c r="V18" s="1">
        <f>V17+V16</f>
        <v>-35.050999999999995</v>
      </c>
    </row>
    <row r="19" spans="3:26" x14ac:dyDescent="0.25">
      <c r="C19" s="3"/>
      <c r="D19" s="1"/>
      <c r="Z19" s="1" t="s">
        <v>55</v>
      </c>
    </row>
    <row r="20" spans="3:26" x14ac:dyDescent="0.25">
      <c r="C20" s="3" t="s">
        <v>42</v>
      </c>
      <c r="D20" s="1">
        <f t="shared" ref="D20:V20" si="5">D18/D21</f>
        <v>-0.96896537906715807</v>
      </c>
      <c r="E20" s="1">
        <f t="shared" si="5"/>
        <v>-1.2465028426092162</v>
      </c>
      <c r="F20" s="1">
        <f t="shared" si="5"/>
        <v>-1.1503189013448933</v>
      </c>
      <c r="G20" s="1">
        <f t="shared" si="5"/>
        <v>-1.0107167611566283</v>
      </c>
      <c r="H20" s="1">
        <f t="shared" si="5"/>
        <v>-0.81422294663737504</v>
      </c>
      <c r="I20" s="1">
        <f t="shared" si="5"/>
        <v>-1.0629304119625904</v>
      </c>
      <c r="J20" s="1">
        <f t="shared" si="5"/>
        <v>-0.79421819393068138</v>
      </c>
      <c r="K20" s="1">
        <f t="shared" si="5"/>
        <v>-0.74625953665392208</v>
      </c>
      <c r="L20" s="1">
        <f t="shared" si="5"/>
        <v>-0.74800424369967133</v>
      </c>
      <c r="M20" s="1">
        <f t="shared" si="5"/>
        <v>-0.7873448830890114</v>
      </c>
      <c r="N20" s="1">
        <f t="shared" si="5"/>
        <v>-0.69895949780720623</v>
      </c>
      <c r="O20" s="1">
        <f t="shared" si="5"/>
        <v>-0.59184684223110307</v>
      </c>
      <c r="P20" s="1">
        <f t="shared" si="5"/>
        <v>-0.53402521889050414</v>
      </c>
      <c r="Q20" s="1">
        <f t="shared" si="5"/>
        <v>-0.65932371037234472</v>
      </c>
      <c r="R20" s="1">
        <f t="shared" si="5"/>
        <v>-0.465257340919495</v>
      </c>
      <c r="S20" s="1">
        <f t="shared" si="5"/>
        <v>-0.44912617502978941</v>
      </c>
      <c r="T20" s="1">
        <f t="shared" si="5"/>
        <v>-0.4994597249508842</v>
      </c>
      <c r="U20" s="1">
        <f t="shared" si="5"/>
        <v>-0.59667433794690605</v>
      </c>
      <c r="V20" s="1">
        <f t="shared" si="5"/>
        <v>-0.56168773937150451</v>
      </c>
    </row>
    <row r="21" spans="3:26" x14ac:dyDescent="0.25">
      <c r="C21" s="1" t="s">
        <v>43</v>
      </c>
      <c r="D21" s="2">
        <v>49.911999999999999</v>
      </c>
      <c r="E21" s="1">
        <v>53.472000000000001</v>
      </c>
      <c r="F21" s="1">
        <v>56.286999999999999</v>
      </c>
      <c r="G21" s="1">
        <v>56.267000000000003</v>
      </c>
      <c r="H21" s="1">
        <v>56.444000000000003</v>
      </c>
      <c r="I21" s="1">
        <v>56.777000000000001</v>
      </c>
      <c r="J21" s="1">
        <v>57.040999999999997</v>
      </c>
      <c r="K21" s="1">
        <v>57.279000000000003</v>
      </c>
      <c r="L21" s="1">
        <v>57.497</v>
      </c>
      <c r="M21" s="1">
        <v>57.779000000000003</v>
      </c>
      <c r="N21" s="1">
        <v>58.145000000000003</v>
      </c>
      <c r="O21" s="1">
        <v>58.554000000000002</v>
      </c>
      <c r="P21" s="1">
        <v>59.161999999999999</v>
      </c>
      <c r="Q21" s="1">
        <v>59.649000000000001</v>
      </c>
      <c r="R21" s="1">
        <v>61.164000000000001</v>
      </c>
      <c r="S21" s="1">
        <v>60.423999999999999</v>
      </c>
      <c r="T21" s="1">
        <v>61.08</v>
      </c>
      <c r="U21" s="1">
        <v>61.701999999999998</v>
      </c>
      <c r="V21" s="1">
        <v>62.402999999999999</v>
      </c>
    </row>
    <row r="24" spans="3:26" x14ac:dyDescent="0.25">
      <c r="C24" s="11" t="s">
        <v>54</v>
      </c>
      <c r="D24" s="2" t="s">
        <v>55</v>
      </c>
      <c r="H24" s="12">
        <f>(H6-D6)/H6</f>
        <v>0.22537470272661911</v>
      </c>
      <c r="I24" s="12">
        <f t="shared" ref="I24:V24" si="6">(I6-E6)/I6</f>
        <v>0.20028248587570616</v>
      </c>
      <c r="J24" s="12">
        <f t="shared" si="6"/>
        <v>0.11965798556636338</v>
      </c>
      <c r="K24" s="12">
        <f t="shared" si="6"/>
        <v>0.14399665401965764</v>
      </c>
      <c r="L24" s="12">
        <f t="shared" si="6"/>
        <v>0.24133542196984534</v>
      </c>
      <c r="M24" s="12">
        <f t="shared" si="6"/>
        <v>0.20081803936150441</v>
      </c>
      <c r="N24" s="12">
        <f t="shared" si="6"/>
        <v>0.21756849651379748</v>
      </c>
      <c r="O24" s="12">
        <f t="shared" si="6"/>
        <v>0.20970369495927277</v>
      </c>
      <c r="P24" s="12">
        <f t="shared" si="6"/>
        <v>0.19405273184313448</v>
      </c>
      <c r="Q24" s="12">
        <f t="shared" si="6"/>
        <v>0.18849482180767943</v>
      </c>
      <c r="R24" s="12">
        <f t="shared" si="6"/>
        <v>0.1519202140395807</v>
      </c>
      <c r="S24" s="12">
        <f t="shared" si="6"/>
        <v>0.1444212142330496</v>
      </c>
      <c r="T24" s="12">
        <f t="shared" si="6"/>
        <v>0.14450616212463113</v>
      </c>
      <c r="U24" s="12">
        <f t="shared" si="6"/>
        <v>0.16187508467687303</v>
      </c>
      <c r="V24" s="12">
        <f t="shared" si="6"/>
        <v>0.18854328580117594</v>
      </c>
    </row>
    <row r="25" spans="3:26" x14ac:dyDescent="0.25">
      <c r="C25" s="11" t="s">
        <v>52</v>
      </c>
      <c r="D25" s="12">
        <f t="shared" ref="D25:G25" si="7">D12/D6</f>
        <v>0.35608548717216432</v>
      </c>
      <c r="E25" s="12">
        <f t="shared" si="7"/>
        <v>0.38259189228499602</v>
      </c>
      <c r="F25" s="12">
        <f t="shared" si="7"/>
        <v>0.4480067007645287</v>
      </c>
      <c r="G25" s="12">
        <f t="shared" si="7"/>
        <v>0.44881862283181517</v>
      </c>
      <c r="H25" s="12">
        <f>H12/H6</f>
        <v>0.45722028648857921</v>
      </c>
      <c r="I25" s="12">
        <f t="shared" ref="I25:V25" si="8">I12/I6</f>
        <v>0.30759388501163182</v>
      </c>
      <c r="J25" s="12">
        <f t="shared" si="8"/>
        <v>0.3435048635080013</v>
      </c>
      <c r="K25" s="12">
        <f t="shared" si="8"/>
        <v>0.36629522301556477</v>
      </c>
      <c r="L25" s="12">
        <f t="shared" si="8"/>
        <v>0.40507426781168704</v>
      </c>
      <c r="M25" s="12">
        <f t="shared" si="8"/>
        <v>0.41010862925287511</v>
      </c>
      <c r="N25" s="12">
        <f t="shared" si="8"/>
        <v>0.43296425414907203</v>
      </c>
      <c r="O25" s="12">
        <f t="shared" si="8"/>
        <v>0.45133986542320859</v>
      </c>
      <c r="P25" s="12">
        <f t="shared" si="8"/>
        <v>0.48290554935578778</v>
      </c>
      <c r="Q25" s="12">
        <f t="shared" si="8"/>
        <v>0.4960287952755057</v>
      </c>
      <c r="R25" s="12">
        <f t="shared" si="8"/>
        <v>0.53402667166369966</v>
      </c>
      <c r="S25" s="12">
        <f t="shared" si="8"/>
        <v>0.51345837247118953</v>
      </c>
      <c r="T25" s="12">
        <f t="shared" si="8"/>
        <v>0.52047291172443055</v>
      </c>
      <c r="U25" s="12">
        <f t="shared" si="8"/>
        <v>0.51593731653344166</v>
      </c>
      <c r="V25" s="12">
        <f t="shared" si="8"/>
        <v>0.52759005203757525</v>
      </c>
    </row>
    <row r="26" spans="3:26" s="13" customFormat="1" x14ac:dyDescent="0.25">
      <c r="C26" s="13" t="s">
        <v>53</v>
      </c>
      <c r="D26" s="14">
        <v>0</v>
      </c>
      <c r="E26" s="13">
        <v>0</v>
      </c>
      <c r="F26" s="13">
        <v>0</v>
      </c>
      <c r="G26" s="13">
        <v>0</v>
      </c>
      <c r="H26" s="13">
        <v>0</v>
      </c>
      <c r="I26" s="13">
        <v>0</v>
      </c>
      <c r="J26" s="13">
        <v>0</v>
      </c>
      <c r="K26" s="13">
        <v>0</v>
      </c>
      <c r="L26" s="13">
        <v>0</v>
      </c>
      <c r="M26" s="13">
        <v>0</v>
      </c>
      <c r="N26" s="13">
        <v>0</v>
      </c>
      <c r="O26" s="13">
        <v>0</v>
      </c>
      <c r="P26" s="13">
        <v>0</v>
      </c>
      <c r="Q26" s="13">
        <v>0</v>
      </c>
      <c r="R26" s="13">
        <v>0</v>
      </c>
      <c r="S26" s="13">
        <v>0</v>
      </c>
      <c r="T26" s="13">
        <v>0</v>
      </c>
      <c r="U26" s="13">
        <v>0</v>
      </c>
      <c r="V26" s="13">
        <v>0</v>
      </c>
    </row>
    <row r="27" spans="3:26" x14ac:dyDescent="0.25">
      <c r="C27" s="11"/>
    </row>
    <row r="28" spans="3:26" x14ac:dyDescent="0.25">
      <c r="C28" s="11"/>
    </row>
    <row r="29" spans="3:26" x14ac:dyDescent="0.25">
      <c r="C29" s="11"/>
    </row>
    <row r="30" spans="3:26" x14ac:dyDescent="0.25">
      <c r="C30" s="11"/>
    </row>
    <row r="31" spans="3:26" x14ac:dyDescent="0.25">
      <c r="C31" s="11"/>
    </row>
    <row r="32" spans="3:26" x14ac:dyDescent="0.25">
      <c r="C32" s="11"/>
    </row>
    <row r="33" spans="3:3" x14ac:dyDescent="0.25">
      <c r="C33" s="11"/>
    </row>
    <row r="34" spans="3:3" x14ac:dyDescent="0.25">
      <c r="C34" s="11"/>
    </row>
    <row r="35" spans="3:3" x14ac:dyDescent="0.25">
      <c r="C35" s="11"/>
    </row>
    <row r="36" spans="3:3" x14ac:dyDescent="0.25">
      <c r="C36" s="11"/>
    </row>
    <row r="37" spans="3:3" x14ac:dyDescent="0.25">
      <c r="C37" s="11"/>
    </row>
    <row r="38" spans="3:3" x14ac:dyDescent="0.25">
      <c r="C38" s="11"/>
    </row>
    <row r="39" spans="3:3" x14ac:dyDescent="0.25">
      <c r="C39" s="11"/>
    </row>
    <row r="40" spans="3:3" x14ac:dyDescent="0.25">
      <c r="C40" s="11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robin zerr</dc:creator>
  <cp:lastModifiedBy>robin zerr</cp:lastModifiedBy>
  <dcterms:created xsi:type="dcterms:W3CDTF">2026-08-11T02:53:58Z</dcterms:created>
  <dcterms:modified xsi:type="dcterms:W3CDTF">2026-08-12T05:03:54Z</dcterms:modified>
</cp:coreProperties>
</file>