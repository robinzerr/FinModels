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r\Desktop\FinModels\"/>
    </mc:Choice>
  </mc:AlternateContent>
  <xr:revisionPtr revIDLastSave="0" documentId="13_ncr:1_{75CCDFF3-21D6-4C99-94FD-749E9CD40568}" xr6:coauthVersionLast="47" xr6:coauthVersionMax="47" xr10:uidLastSave="{00000000-0000-0000-0000-000000000000}"/>
  <bookViews>
    <workbookView xWindow="-120" yWindow="-120" windowWidth="29040" windowHeight="15840" activeTab="1" xr2:uid="{7A10FED2-3E19-44B9-9D40-73F90740EF2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2" l="1"/>
  <c r="F25" i="2"/>
  <c r="E25" i="2"/>
  <c r="D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U13" i="2"/>
  <c r="U16" i="2" s="1"/>
  <c r="U18" i="2" s="1"/>
  <c r="T13" i="2"/>
  <c r="T16" i="2" s="1"/>
  <c r="T18" i="2" s="1"/>
  <c r="T20" i="2" s="1"/>
  <c r="S13" i="2"/>
  <c r="S16" i="2" s="1"/>
  <c r="S18" i="2" s="1"/>
  <c r="S20" i="2" s="1"/>
  <c r="R13" i="2"/>
  <c r="R16" i="2" s="1"/>
  <c r="R18" i="2" s="1"/>
  <c r="R20" i="2" s="1"/>
  <c r="Q13" i="2"/>
  <c r="Q16" i="2" s="1"/>
  <c r="Q18" i="2" s="1"/>
  <c r="Q20" i="2" s="1"/>
  <c r="P13" i="2"/>
  <c r="P16" i="2" s="1"/>
  <c r="P18" i="2" s="1"/>
  <c r="P20" i="2" s="1"/>
  <c r="O13" i="2"/>
  <c r="O16" i="2" s="1"/>
  <c r="O18" i="2" s="1"/>
  <c r="O20" i="2" s="1"/>
  <c r="N13" i="2"/>
  <c r="N16" i="2" s="1"/>
  <c r="N18" i="2" s="1"/>
  <c r="N20" i="2" s="1"/>
  <c r="M13" i="2"/>
  <c r="M16" i="2" s="1"/>
  <c r="M18" i="2" s="1"/>
  <c r="M20" i="2" s="1"/>
  <c r="L13" i="2"/>
  <c r="L16" i="2" s="1"/>
  <c r="L18" i="2" s="1"/>
  <c r="L20" i="2" s="1"/>
  <c r="K13" i="2"/>
  <c r="K16" i="2" s="1"/>
  <c r="K18" i="2" s="1"/>
  <c r="K20" i="2" s="1"/>
  <c r="J13" i="2"/>
  <c r="J16" i="2" s="1"/>
  <c r="J18" i="2" s="1"/>
  <c r="J20" i="2" s="1"/>
  <c r="I13" i="2"/>
  <c r="I16" i="2" s="1"/>
  <c r="I18" i="2" s="1"/>
  <c r="I20" i="2" s="1"/>
  <c r="H13" i="2"/>
  <c r="H16" i="2" s="1"/>
  <c r="H18" i="2" s="1"/>
  <c r="H20" i="2" s="1"/>
  <c r="G13" i="2"/>
  <c r="G16" i="2" s="1"/>
  <c r="G18" i="2" s="1"/>
  <c r="G20" i="2" s="1"/>
  <c r="F13" i="2"/>
  <c r="F16" i="2" s="1"/>
  <c r="F18" i="2" s="1"/>
  <c r="F20" i="2" s="1"/>
  <c r="E13" i="2"/>
  <c r="E16" i="2" s="1"/>
  <c r="E18" i="2" s="1"/>
  <c r="E20" i="2" s="1"/>
  <c r="D13" i="2"/>
  <c r="D16" i="2" s="1"/>
  <c r="D18" i="2" s="1"/>
  <c r="D20" i="2" s="1"/>
  <c r="V13" i="2"/>
  <c r="V16" i="2" s="1"/>
  <c r="V18" i="2" s="1"/>
  <c r="V20" i="2" s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V12" i="2"/>
  <c r="V11" i="2"/>
  <c r="F6" i="1"/>
  <c r="F8" i="1" s="1"/>
  <c r="F7" i="1"/>
  <c r="F5" i="1"/>
  <c r="U2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 zerr</author>
  </authors>
  <commentList>
    <comment ref="G6" authorId="0" shapeId="0" xr:uid="{0B2964A7-A835-437F-BE85-7DB76883D314}">
      <text>
        <r>
          <rPr>
            <b/>
            <sz val="9"/>
            <color indexed="81"/>
            <rFont val="Tahoma"/>
            <charset val="1"/>
          </rPr>
          <t>robin zerr:</t>
        </r>
        <r>
          <rPr>
            <sz val="9"/>
            <color indexed="81"/>
            <rFont val="Tahoma"/>
            <charset val="1"/>
          </rPr>
          <t xml:space="preserve">
Source: Twist Bioscience FY2022 annual results / 10-K | Period: Q4 FY2022 | Method: FY less first nine months where applicable; Q4 weighted-average shares from reported quarter.</t>
        </r>
      </text>
    </comment>
    <comment ref="K6" authorId="0" shapeId="0" xr:uid="{DFED0E1C-69B8-4B6B-A669-3B0034F7ED35}">
      <text>
        <r>
          <rPr>
            <b/>
            <sz val="9"/>
            <color indexed="81"/>
            <rFont val="Tahoma"/>
            <charset val="1"/>
          </rPr>
          <t>robin zerr:</t>
        </r>
        <r>
          <rPr>
            <sz val="9"/>
            <color indexed="81"/>
            <rFont val="Tahoma"/>
            <charset val="1"/>
          </rPr>
          <t xml:space="preserve">
Source: Twist Bioscience FY2023 annual results / 10-K | Period: Q4 FY2023 | Method: FY less first nine months where applicable; Q4 weighted-average shares from reported quarter.</t>
        </r>
      </text>
    </comment>
    <comment ref="O6" authorId="0" shapeId="0" xr:uid="{A04FC313-BCEE-42E8-AF8B-1D2FC6EC3538}">
      <text>
        <r>
          <rPr>
            <b/>
            <sz val="9"/>
            <color indexed="81"/>
            <rFont val="Tahoma"/>
            <charset val="1"/>
          </rPr>
          <t>robin zerr:</t>
        </r>
        <r>
          <rPr>
            <sz val="9"/>
            <color indexed="81"/>
            <rFont val="Tahoma"/>
            <charset val="1"/>
          </rPr>
          <t xml:space="preserve">
Source: Twist Bioscience FY2024 annual results / 10-K | Period: Q4 FY2024 | Method: FY less first nine months where applicable; Q4 weighted-average shares from reported quarter.</t>
        </r>
      </text>
    </comment>
    <comment ref="S6" authorId="0" shapeId="0" xr:uid="{3E47BB56-F691-4E0B-A564-0BF45FF6F24E}">
      <text>
        <r>
          <rPr>
            <b/>
            <sz val="9"/>
            <color indexed="81"/>
            <rFont val="Tahoma"/>
            <charset val="1"/>
          </rPr>
          <t>robin zerr:</t>
        </r>
        <r>
          <rPr>
            <sz val="9"/>
            <color indexed="81"/>
            <rFont val="Tahoma"/>
            <charset val="1"/>
          </rPr>
          <t xml:space="preserve">
Source: Twist Bioscience FY2025 annual results / 10-K | Period: Q4 FY2025 | Method: FY less first nine months where applicable; Q4 weighted-average shares from reported quarter.</t>
        </r>
      </text>
    </comment>
    <comment ref="W6" authorId="0" shapeId="0" xr:uid="{0A6164BC-7E42-442B-BC7B-DABF106F72E8}">
      <text>
        <r>
          <rPr>
            <b/>
            <sz val="9"/>
            <color indexed="81"/>
            <rFont val="Tahoma"/>
            <family val="2"/>
          </rPr>
          <t>robin zerr:</t>
        </r>
        <r>
          <rPr>
            <sz val="9"/>
            <color indexed="81"/>
            <rFont val="Tahoma"/>
            <family val="2"/>
          </rPr>
          <t xml:space="preserve">
Forecast: Q4 FY2026 applies average reported FY2026 year-over-year growth to Q4 FY2025.</t>
        </r>
      </text>
    </comment>
    <comment ref="X6" authorId="0" shapeId="0" xr:uid="{35D09DBF-04C8-4B52-87D4-D3C225E8FC92}">
      <text>
        <r>
          <rPr>
            <b/>
            <sz val="9"/>
            <color indexed="81"/>
            <rFont val="Tahoma"/>
            <family val="2"/>
          </rPr>
          <t>robin zerr:</t>
        </r>
        <r>
          <rPr>
            <sz val="9"/>
            <color indexed="81"/>
            <rFont val="Tahoma"/>
            <family val="2"/>
          </rPr>
          <t xml:space="preserve">
Forecast: FY2027 applies the average FY2026 year-over-year growth rate to the comparable prior-year quarter.</t>
        </r>
      </text>
    </comment>
    <comment ref="U7" authorId="0" shapeId="0" xr:uid="{38B8722F-FCC7-4C92-8FCC-D6B6BAEF02C9}">
      <text>
        <r>
          <rPr>
            <b/>
            <sz val="9"/>
            <color indexed="81"/>
            <rFont val="Tahoma"/>
            <charset val="1"/>
          </rPr>
          <t>robin zerr:</t>
        </r>
        <r>
          <rPr>
            <sz val="9"/>
            <color indexed="81"/>
            <rFont val="Tahoma"/>
            <charset val="1"/>
          </rPr>
          <t xml:space="preserve">
Source: Twist Bioscience Q2 FY2026 financial results, filed May 7, 2026 | Cost of revenues reported as $53.593 million.</t>
        </r>
      </text>
    </comment>
  </commentList>
</comments>
</file>

<file path=xl/sharedStrings.xml><?xml version="1.0" encoding="utf-8"?>
<sst xmlns="http://schemas.openxmlformats.org/spreadsheetml/2006/main" count="57" uniqueCount="57">
  <si>
    <t>Main</t>
  </si>
  <si>
    <t xml:space="preserve">Price </t>
  </si>
  <si>
    <t>Shares</t>
  </si>
  <si>
    <t>MC</t>
  </si>
  <si>
    <t>Cash</t>
  </si>
  <si>
    <t>Debt</t>
  </si>
  <si>
    <t>Enterprise Value</t>
  </si>
  <si>
    <t>Twist bioscience</t>
  </si>
  <si>
    <t xml:space="preserve">Makes synthetic DNA for other companies
reasearch and development use? </t>
  </si>
  <si>
    <t>Target Market - Bio tech
Pharma etc.</t>
  </si>
  <si>
    <t>Model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</si>
  <si>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</si>
  <si>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</si>
  <si>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</si>
  <si>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</si>
  <si>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</si>
  <si>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</si>
  <si>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</si>
  <si>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</si>
  <si>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</si>
  <si>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</si>
  <si>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</si>
  <si>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</si>
  <si>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</si>
  <si>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</si>
  <si>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</si>
  <si>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</si>
  <si>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</si>
  <si>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</si>
  <si>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</si>
  <si>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Total Revenue</t>
  </si>
  <si>
    <t>Cost of Revenues</t>
  </si>
  <si>
    <t>Cost of R&amp;D</t>
  </si>
  <si>
    <t>Cost of SG&amp;A</t>
  </si>
  <si>
    <t>Gross Profit</t>
  </si>
  <si>
    <t xml:space="preserve">Interest income </t>
  </si>
  <si>
    <t>Total COGS and Operating costs</t>
  </si>
  <si>
    <t>Other income (expense) net</t>
  </si>
  <si>
    <t>Income (loss) before income taxes</t>
  </si>
  <si>
    <t>Income tax expense</t>
  </si>
  <si>
    <t>Loss from operations</t>
  </si>
  <si>
    <t>Net income</t>
  </si>
  <si>
    <t>EPS -Diluted</t>
  </si>
  <si>
    <t>Shares Diluted</t>
  </si>
  <si>
    <t>Revenue from repeats 
As defined by 2 or more purchases 
per fiscalyear</t>
  </si>
  <si>
    <t>Litigation Cost/Other</t>
  </si>
  <si>
    <t>Numbers in Millions</t>
  </si>
  <si>
    <t>Q426</t>
  </si>
  <si>
    <t>Q127</t>
  </si>
  <si>
    <t>Q227</t>
  </si>
  <si>
    <t>Q327</t>
  </si>
  <si>
    <t>Q427</t>
  </si>
  <si>
    <t>Gross Margin</t>
  </si>
  <si>
    <t xml:space="preserve">Tax Rate </t>
  </si>
  <si>
    <t>Revenue Growth YoY</t>
  </si>
  <si>
    <t xml:space="preserve"> </t>
  </si>
  <si>
    <t xml:space="preserve">Yearly: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</si>
</sst>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"/>
    <numFmt numFmtId="165" formatCode="0.000;[Red]0.000"/>
    <numFmt numFmtId="166" formatCode="0.00;[Red]0.00"/>
    <numFmt numFmtId="169" formatCode="0.000%"/>
    <numFmt numFmtId="170" formatCode="0;[Red]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65" fontId="0" fillId="0" borderId="0" xfId="0" applyNumberFormat="1"/>
    <xf numFmtId="165" fontId="0" fillId="0" borderId="2" xfId="0" applyNumberFormat="1" applyBorder="1"/>
    <xf numFmtId="165" fontId="2" fillId="0" borderId="0" xfId="0" applyNumberFormat="1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66" fontId="0" fillId="0" borderId="0" xfId="0" applyNumberFormat="1"/>
    <xf numFmtId="169" fontId="0" fillId="0" borderId="0" xfId="0" applyNumberFormat="1"/>
    <xf numFmtId="10" fontId="0" fillId="0" borderId="0" xfId="0" applyNumberFormat="1"/>
    <xf numFmtId="10" fontId="0" fillId="0" borderId="2" xfId="0" applyNumberFormat="1" applyBorder="1"/>
    <xf numFmtId="170" fontId="0" fillId="0" borderId="1" xfId="0" applyNumberFormat="1" applyBorder="1"/>
    <xf numFmtId="170" fontId="0" fillId="0" borderId="3" xfId="0" applyNumberFormat="1" applyBorder="1"/>
    <xf numFmtId="170" fontId="2" fillId="0" borderId="1" xfId="0" applyNumberFormat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AD6235-9A20-4C5E-A0E8-74AB1B2B931C}">
  <we:reference id="wa200010215" version="2.0.0.0" store="en-GB" storeType="OMEX"/>
  <we:alternateReferences>
    <we:reference id="wa200010215" version="2.0.0.0" store="wa200010215" storeType="OMEX"/>
  </we:alternateReferences>
  <we:properties>
    <we:property name="bps.codex_control.document_id" value="&quot;20f59615-6e2f-4f48-8a83-e4c703e6170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E06E-9B2E-4FA3-A49A-3E3DCF1084C7}">
  <dimension ref="A1:F14"/>
  <sheetViews>
    <sheetView workbookViewId="0">
      <selection activeCell="B19" sqref="B19"/>
    </sheetView>
  </sheetViews>
  <sheetFormatPr defaultRowHeight="15" x14ac:dyDescent="0.25"/>
  <cols>
    <col min="1" max="1" width="9.140625" style="4"/>
    <col min="2" max="2" width="25.7109375" style="4" customWidth="1"/>
    <col min="3" max="4" width="9.140625" style="4"/>
    <col min="5" max="6" width="15.42578125" style="4" bestFit="1" customWidth="1"/>
    <col min="7" max="16384" width="9.140625" style="4"/>
  </cols>
  <sheetData>
    <row r="1" spans="1:6" x14ac:dyDescent="0.25">
      <c r="A1" s="4" t="s">
        <v>0</v>
      </c>
    </row>
    <row r="3" spans="1:6" x14ac:dyDescent="0.25">
      <c r="E3" s="4" t="s">
        <v>1</v>
      </c>
      <c r="F3" s="4">
        <v>124</v>
      </c>
    </row>
    <row r="4" spans="1:6" x14ac:dyDescent="0.25">
      <c r="E4" s="4" t="s">
        <v>2</v>
      </c>
      <c r="F4" s="4">
        <v>62707424</v>
      </c>
    </row>
    <row r="5" spans="1:6" x14ac:dyDescent="0.25">
      <c r="E5" s="4" t="s">
        <v>3</v>
      </c>
      <c r="F5" s="4">
        <f>F3*F4</f>
        <v>7775720576</v>
      </c>
    </row>
    <row r="6" spans="1:6" x14ac:dyDescent="0.25">
      <c r="E6" s="4" t="s">
        <v>4</v>
      </c>
      <c r="F6" s="4">
        <f xml:space="preserve"> (117436+49403)*1000</f>
        <v>166839000</v>
      </c>
    </row>
    <row r="7" spans="1:6" x14ac:dyDescent="0.25">
      <c r="E7" s="4" t="s">
        <v>5</v>
      </c>
      <c r="F7" s="4">
        <f>0</f>
        <v>0</v>
      </c>
    </row>
    <row r="8" spans="1:6" x14ac:dyDescent="0.25">
      <c r="E8" s="4" t="s">
        <v>6</v>
      </c>
      <c r="F8" s="5">
        <f>F5-F6+F7</f>
        <v>7608881576</v>
      </c>
    </row>
    <row r="9" spans="1:6" x14ac:dyDescent="0.25">
      <c r="E9" s="5"/>
    </row>
    <row r="10" spans="1:6" x14ac:dyDescent="0.25">
      <c r="B10" s="6" t="s">
        <v>7</v>
      </c>
    </row>
    <row r="11" spans="1:6" s="7" customFormat="1" ht="0.95" customHeight="1" x14ac:dyDescent="0.25"/>
    <row r="12" spans="1:6" ht="60" x14ac:dyDescent="0.25">
      <c r="B12" s="8" t="s">
        <v>8</v>
      </c>
    </row>
    <row r="13" spans="1:6" ht="30" x14ac:dyDescent="0.25">
      <c r="B13" s="9" t="s">
        <v>9</v>
      </c>
    </row>
    <row r="14" spans="1:6" ht="60" x14ac:dyDescent="0.25">
      <c r="B14" s="8" t="s">
        <v>44</v>
      </c>
      <c r="C14" s="10">
        <v>0.99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1551-61C1-4FAC-A3EE-2EABFB95B828}">
  <dimension ref="A1:AS40"/>
  <sheetViews>
    <sheetView tabSelected="1" zoomScale="85" zoomScaleNormal="85" workbookViewId="0">
      <pane xSplit="3" ySplit="4" topLeftCell="W5" activePane="bottomRight" state="frozen"/>
      <selection pane="topRight" activeCell="D1" sqref="D1"/>
      <selection pane="bottomLeft" activeCell="A5" sqref="A5"/>
      <selection pane="bottomRight" activeCell="AL5" sqref="AL5"/>
    </sheetView>
  </sheetViews>
  <sheetFormatPr defaultRowHeight="15" x14ac:dyDescent="0.25"/>
  <cols>
    <col min="1" max="1" width="9.140625" style="1"/>
    <col min="2" max="2" width="19.140625" style="1" bestFit="1" customWidth="1"/>
    <col min="3" max="3" width="30.28515625" style="1" bestFit="1" customWidth="1"/>
    <col min="4" max="4" width="9.140625" style="2"/>
    <col min="5" max="17" width="9.140625" style="1"/>
    <col min="18" max="18" width="9.7109375" style="1" bestFit="1" customWidth="1"/>
    <col min="19" max="16384" width="9.140625" style="1"/>
  </cols>
  <sheetData>
    <row r="1" spans="1:45" x14ac:dyDescent="0.25">
      <c r="A1" s="1" t="s">
        <v>10</v>
      </c>
      <c r="B1" s="3" t="s">
        <v>46</v>
      </c>
    </row>
    <row r="4" spans="1:45" s="15" customFormat="1" x14ac:dyDescent="0.25">
      <c r="D4" s="16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21</v>
      </c>
      <c r="O4" s="15" t="s">
        <v>22</v>
      </c>
      <c r="P4" s="15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5" t="s">
        <v>28</v>
      </c>
      <c r="V4" s="15" t="s">
        <v>29</v>
      </c>
      <c r="W4" s="15" t="s">
        <v>47</v>
      </c>
      <c r="X4" s="15" t="s">
        <v>48</v>
      </c>
      <c r="Y4" s="15" t="s">
        <v>49</v>
      </c>
      <c r="Z4" s="15" t="s">
        <v>50</v>
      </c>
      <c r="AA4" s="15" t="s">
        <v>51</v>
      </c>
      <c r="AH4" s="17" t="s">
        <v>56</v>
      </c>
      <c r="AI4" s="15">
        <v>2022</v>
      </c>
      <c r="AJ4" s="15">
        <v>2023</v>
      </c>
      <c r="AK4" s="15">
        <v>2024</v>
      </c>
      <c r="AL4" s="15">
        <v>2025</v>
      </c>
      <c r="AM4" s="15">
        <v>2026</v>
      </c>
      <c r="AN4" s="15">
        <v>2027</v>
      </c>
      <c r="AO4" s="15">
        <v>2028</v>
      </c>
      <c r="AP4" s="15">
        <v>2029</v>
      </c>
      <c r="AQ4" s="15">
        <v>2030</v>
      </c>
      <c r="AR4" s="15">
        <v>2031</v>
      </c>
      <c r="AS4" s="15">
        <v>2032</v>
      </c>
    </row>
    <row r="6" spans="1:45" x14ac:dyDescent="0.25">
      <c r="C6" s="3" t="s">
        <v>30</v>
      </c>
      <c r="D6" s="2">
        <v>42.018000000000001</v>
      </c>
      <c r="E6" s="1">
        <v>48.127000000000002</v>
      </c>
      <c r="F6" s="1">
        <v>56.113</v>
      </c>
      <c r="G6" s="1">
        <v>57.305999999999997</v>
      </c>
      <c r="H6" s="1">
        <v>54.243000000000002</v>
      </c>
      <c r="I6" s="1">
        <v>60.18</v>
      </c>
      <c r="J6" s="1">
        <v>63.74</v>
      </c>
      <c r="K6" s="1">
        <v>66.945999999999998</v>
      </c>
      <c r="L6" s="1">
        <v>71.498000000000005</v>
      </c>
      <c r="M6" s="1">
        <v>75.302000000000007</v>
      </c>
      <c r="N6" s="1">
        <v>81.463999999999999</v>
      </c>
      <c r="O6" s="1">
        <v>84.71</v>
      </c>
      <c r="P6" s="1">
        <v>88.712999999999994</v>
      </c>
      <c r="Q6" s="1">
        <v>92.793000000000006</v>
      </c>
      <c r="R6" s="1">
        <v>96.057000000000002</v>
      </c>
      <c r="S6" s="1">
        <v>99.009</v>
      </c>
      <c r="T6" s="1">
        <v>103.69799999999999</v>
      </c>
      <c r="U6" s="1">
        <v>110.715</v>
      </c>
      <c r="V6" s="1">
        <v>118.376</v>
      </c>
    </row>
    <row r="7" spans="1:45" x14ac:dyDescent="0.25">
      <c r="C7" s="1" t="s">
        <v>31</v>
      </c>
      <c r="D7" s="2">
        <v>27.056000000000001</v>
      </c>
      <c r="E7" s="1">
        <v>29.713999999999999</v>
      </c>
      <c r="F7" s="1">
        <v>30.974</v>
      </c>
      <c r="G7" s="1">
        <v>31.585999999999999</v>
      </c>
      <c r="H7" s="1">
        <v>29.442</v>
      </c>
      <c r="I7" s="1">
        <v>41.668999999999997</v>
      </c>
      <c r="J7" s="1">
        <v>41.844999999999999</v>
      </c>
      <c r="K7" s="1">
        <v>42.423999999999999</v>
      </c>
      <c r="L7" s="1">
        <v>42.536000000000001</v>
      </c>
      <c r="M7" s="1">
        <v>44.42</v>
      </c>
      <c r="N7" s="1">
        <v>46.192999999999998</v>
      </c>
      <c r="O7" s="1">
        <v>46.476999999999997</v>
      </c>
      <c r="P7" s="1">
        <v>45.872999999999998</v>
      </c>
      <c r="Q7" s="1">
        <v>46.765000000000001</v>
      </c>
      <c r="R7" s="1">
        <v>44.76</v>
      </c>
      <c r="S7" s="1">
        <v>48.171999999999997</v>
      </c>
      <c r="T7" s="1">
        <v>49.725999999999999</v>
      </c>
      <c r="U7" s="1">
        <v>53.593000000000004</v>
      </c>
      <c r="V7" s="1">
        <v>55.921999999999997</v>
      </c>
    </row>
    <row r="8" spans="1:45" x14ac:dyDescent="0.25">
      <c r="C8" s="1" t="s">
        <v>32</v>
      </c>
      <c r="D8" s="2">
        <v>22.63</v>
      </c>
      <c r="E8" s="1">
        <v>31.231000000000002</v>
      </c>
      <c r="F8" s="1">
        <v>36.840000000000003</v>
      </c>
      <c r="G8" s="1">
        <v>29.606000000000002</v>
      </c>
      <c r="H8" s="1">
        <v>31.242000000000001</v>
      </c>
      <c r="I8" s="1">
        <v>27.379000000000001</v>
      </c>
      <c r="J8" s="1">
        <v>24.527999999999999</v>
      </c>
      <c r="K8" s="1">
        <v>23.745000000000001</v>
      </c>
      <c r="L8" s="1">
        <v>23.099</v>
      </c>
      <c r="M8" s="1">
        <v>24.149000000000001</v>
      </c>
      <c r="N8" s="1">
        <v>22.469000000000001</v>
      </c>
      <c r="O8" s="1">
        <v>21.134</v>
      </c>
      <c r="P8" s="1">
        <v>21.306999999999999</v>
      </c>
      <c r="Q8" s="1">
        <v>23.917000000000002</v>
      </c>
      <c r="R8" s="1">
        <v>18.047000000000001</v>
      </c>
      <c r="S8" s="1">
        <v>17.013999999999999</v>
      </c>
      <c r="T8" s="1">
        <v>17.13</v>
      </c>
      <c r="U8" s="1">
        <v>19.695</v>
      </c>
      <c r="V8" s="1">
        <v>18.024999999999999</v>
      </c>
    </row>
    <row r="9" spans="1:45" x14ac:dyDescent="0.25">
      <c r="C9" s="1" t="s">
        <v>33</v>
      </c>
      <c r="D9" s="2">
        <v>51.097999999999999</v>
      </c>
      <c r="E9" s="1">
        <v>53.997999999999998</v>
      </c>
      <c r="F9" s="1">
        <v>53.692999999999998</v>
      </c>
      <c r="G9" s="1">
        <v>54.158999999999999</v>
      </c>
      <c r="H9" s="1">
        <v>42.323999999999998</v>
      </c>
      <c r="I9" s="1">
        <v>53.965000000000003</v>
      </c>
      <c r="J9" s="1">
        <v>46.057000000000002</v>
      </c>
      <c r="K9" s="1">
        <v>47.390999999999998</v>
      </c>
      <c r="L9" s="1">
        <v>52.84</v>
      </c>
      <c r="M9" s="1">
        <v>55.622</v>
      </c>
      <c r="N9" s="1">
        <v>56.793999999999997</v>
      </c>
      <c r="O9" s="1">
        <v>53.143000000000001</v>
      </c>
      <c r="P9" s="1">
        <v>56.177</v>
      </c>
      <c r="Q9" s="1">
        <v>63.670999999999999</v>
      </c>
      <c r="R9" s="1">
        <v>63.37</v>
      </c>
      <c r="S9" s="1">
        <v>63.758000000000003</v>
      </c>
      <c r="T9" s="1">
        <v>69.742000000000004</v>
      </c>
      <c r="U9" s="1">
        <v>76.084999999999994</v>
      </c>
      <c r="V9" s="1">
        <v>80.709000000000003</v>
      </c>
    </row>
    <row r="10" spans="1:45" x14ac:dyDescent="0.25">
      <c r="C10" s="1" t="s">
        <v>45</v>
      </c>
      <c r="D10" s="2">
        <v>-2.8260000000000001</v>
      </c>
      <c r="E10" s="1">
        <v>-6.0140000000000002</v>
      </c>
      <c r="F10" s="1">
        <v>-4.2309999999999999</v>
      </c>
      <c r="G10" s="1">
        <v>-1.1739999999999999</v>
      </c>
      <c r="H10" s="1">
        <v>-4.1349999999999998</v>
      </c>
      <c r="I10" s="1">
        <v>-1.196</v>
      </c>
      <c r="J10" s="1">
        <v>15.711</v>
      </c>
      <c r="K10" s="1">
        <v>3.4969999999999999</v>
      </c>
      <c r="L10" s="1">
        <v>0</v>
      </c>
      <c r="M10" s="1">
        <v>0</v>
      </c>
      <c r="N10" s="1">
        <v>44.93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7.2050000000000001</v>
      </c>
      <c r="V10" s="1">
        <v>0</v>
      </c>
    </row>
    <row r="11" spans="1:45" x14ac:dyDescent="0.25">
      <c r="C11" s="3" t="s">
        <v>36</v>
      </c>
      <c r="D11" s="1">
        <f t="shared" ref="D11:U11" si="0">SUM(D7:D10)</f>
        <v>97.957999999999998</v>
      </c>
      <c r="E11" s="1">
        <f t="shared" si="0"/>
        <v>108.929</v>
      </c>
      <c r="F11" s="1">
        <f t="shared" si="0"/>
        <v>117.27600000000001</v>
      </c>
      <c r="G11" s="1">
        <f t="shared" si="0"/>
        <v>114.17699999999999</v>
      </c>
      <c r="H11" s="1">
        <f t="shared" si="0"/>
        <v>98.87299999999999</v>
      </c>
      <c r="I11" s="1">
        <f t="shared" si="0"/>
        <v>121.81700000000001</v>
      </c>
      <c r="J11" s="1">
        <f t="shared" si="0"/>
        <v>128.14099999999999</v>
      </c>
      <c r="K11" s="1">
        <f t="shared" si="0"/>
        <v>117.057</v>
      </c>
      <c r="L11" s="1">
        <f t="shared" si="0"/>
        <v>118.47500000000001</v>
      </c>
      <c r="M11" s="1">
        <f t="shared" si="0"/>
        <v>124.191</v>
      </c>
      <c r="N11" s="1">
        <f t="shared" si="0"/>
        <v>170.386</v>
      </c>
      <c r="O11" s="1">
        <f t="shared" si="0"/>
        <v>120.75399999999999</v>
      </c>
      <c r="P11" s="1">
        <f t="shared" si="0"/>
        <v>123.357</v>
      </c>
      <c r="Q11" s="1">
        <f t="shared" si="0"/>
        <v>134.35300000000001</v>
      </c>
      <c r="R11" s="1">
        <f t="shared" si="0"/>
        <v>126.17699999999999</v>
      </c>
      <c r="S11" s="1">
        <f t="shared" si="0"/>
        <v>128.94399999999999</v>
      </c>
      <c r="T11" s="1">
        <f t="shared" si="0"/>
        <v>136.59800000000001</v>
      </c>
      <c r="U11" s="1">
        <f t="shared" si="0"/>
        <v>156.578</v>
      </c>
      <c r="V11" s="1">
        <f>SUM(V7:V10)</f>
        <v>154.65600000000001</v>
      </c>
    </row>
    <row r="12" spans="1:45" x14ac:dyDescent="0.25">
      <c r="C12" s="3" t="s">
        <v>34</v>
      </c>
      <c r="D12" s="1">
        <f t="shared" ref="D12:U12" si="1">D6-D7</f>
        <v>14.962</v>
      </c>
      <c r="E12" s="1">
        <f t="shared" si="1"/>
        <v>18.413000000000004</v>
      </c>
      <c r="F12" s="1">
        <f t="shared" si="1"/>
        <v>25.138999999999999</v>
      </c>
      <c r="G12" s="1">
        <f t="shared" si="1"/>
        <v>25.72</v>
      </c>
      <c r="H12" s="1">
        <f t="shared" si="1"/>
        <v>24.801000000000002</v>
      </c>
      <c r="I12" s="1">
        <f t="shared" si="1"/>
        <v>18.511000000000003</v>
      </c>
      <c r="J12" s="1">
        <f t="shared" si="1"/>
        <v>21.895000000000003</v>
      </c>
      <c r="K12" s="1">
        <f t="shared" si="1"/>
        <v>24.521999999999998</v>
      </c>
      <c r="L12" s="1">
        <f t="shared" si="1"/>
        <v>28.962000000000003</v>
      </c>
      <c r="M12" s="1">
        <f t="shared" si="1"/>
        <v>30.882000000000005</v>
      </c>
      <c r="N12" s="1">
        <f t="shared" si="1"/>
        <v>35.271000000000001</v>
      </c>
      <c r="O12" s="1">
        <f t="shared" si="1"/>
        <v>38.232999999999997</v>
      </c>
      <c r="P12" s="1">
        <f t="shared" si="1"/>
        <v>42.839999999999996</v>
      </c>
      <c r="Q12" s="1">
        <f t="shared" si="1"/>
        <v>46.028000000000006</v>
      </c>
      <c r="R12" s="1">
        <f t="shared" si="1"/>
        <v>51.297000000000004</v>
      </c>
      <c r="S12" s="1">
        <f t="shared" si="1"/>
        <v>50.837000000000003</v>
      </c>
      <c r="T12" s="1">
        <f t="shared" si="1"/>
        <v>53.971999999999994</v>
      </c>
      <c r="U12" s="1">
        <f t="shared" si="1"/>
        <v>57.122</v>
      </c>
      <c r="V12" s="1">
        <f>V6-V7</f>
        <v>62.454000000000008</v>
      </c>
    </row>
    <row r="13" spans="1:45" x14ac:dyDescent="0.25">
      <c r="C13" s="3" t="s">
        <v>40</v>
      </c>
      <c r="D13" s="1">
        <f t="shared" ref="D13:U13" si="2">D6-D7-D8-D9</f>
        <v>-58.765999999999998</v>
      </c>
      <c r="E13" s="1">
        <f t="shared" si="2"/>
        <v>-66.816000000000003</v>
      </c>
      <c r="F13" s="1">
        <f t="shared" si="2"/>
        <v>-65.394000000000005</v>
      </c>
      <c r="G13" s="1">
        <f t="shared" si="2"/>
        <v>-58.045000000000002</v>
      </c>
      <c r="H13" s="1">
        <f t="shared" si="2"/>
        <v>-48.765000000000001</v>
      </c>
      <c r="I13" s="1">
        <f t="shared" si="2"/>
        <v>-62.832999999999998</v>
      </c>
      <c r="J13" s="1">
        <f t="shared" si="2"/>
        <v>-48.69</v>
      </c>
      <c r="K13" s="1">
        <f t="shared" si="2"/>
        <v>-46.614000000000004</v>
      </c>
      <c r="L13" s="1">
        <f t="shared" si="2"/>
        <v>-46.977000000000004</v>
      </c>
      <c r="M13" s="1">
        <f t="shared" si="2"/>
        <v>-48.888999999999996</v>
      </c>
      <c r="N13" s="1">
        <f t="shared" si="2"/>
        <v>-43.991999999999997</v>
      </c>
      <c r="O13" s="1">
        <f t="shared" si="2"/>
        <v>-36.044000000000004</v>
      </c>
      <c r="P13" s="1">
        <f t="shared" si="2"/>
        <v>-34.644000000000005</v>
      </c>
      <c r="Q13" s="1">
        <f t="shared" si="2"/>
        <v>-41.559999999999995</v>
      </c>
      <c r="R13" s="1">
        <f t="shared" si="2"/>
        <v>-30.119999999999997</v>
      </c>
      <c r="S13" s="1">
        <f t="shared" si="2"/>
        <v>-29.934999999999995</v>
      </c>
      <c r="T13" s="1">
        <f t="shared" si="2"/>
        <v>-32.900000000000006</v>
      </c>
      <c r="U13" s="1">
        <f t="shared" si="2"/>
        <v>-38.657999999999994</v>
      </c>
      <c r="V13" s="1">
        <f>V6-V7-V8-V9</f>
        <v>-36.279999999999994</v>
      </c>
    </row>
    <row r="14" spans="1:45" x14ac:dyDescent="0.25">
      <c r="C14" s="1" t="s">
        <v>35</v>
      </c>
      <c r="D14" s="2">
        <v>0.154</v>
      </c>
      <c r="E14" s="1">
        <v>0.25900000000000001</v>
      </c>
      <c r="F14" s="1">
        <v>0.72199999999999998</v>
      </c>
      <c r="G14" s="1">
        <v>1.9279999999999999</v>
      </c>
      <c r="H14" s="1">
        <v>3.04</v>
      </c>
      <c r="I14" s="1">
        <v>3.464</v>
      </c>
      <c r="J14" s="1">
        <v>3.968</v>
      </c>
      <c r="K14" s="1">
        <v>3.8929999999999998</v>
      </c>
      <c r="L14" s="1">
        <v>4.12</v>
      </c>
      <c r="M14" s="1">
        <v>3.9409999999999998</v>
      </c>
      <c r="N14" s="1">
        <v>3.6629999999999998</v>
      </c>
      <c r="O14" s="1">
        <v>3.62</v>
      </c>
      <c r="P14" s="1">
        <v>3.24</v>
      </c>
      <c r="Q14" s="1">
        <v>2.8010000000000002</v>
      </c>
      <c r="R14" s="1">
        <v>2.69</v>
      </c>
      <c r="S14" s="1">
        <v>2.633</v>
      </c>
      <c r="T14" s="1">
        <v>2.1749999999999998</v>
      </c>
      <c r="U14" s="1">
        <v>1.71</v>
      </c>
      <c r="V14" s="1">
        <v>1.5</v>
      </c>
    </row>
    <row r="15" spans="1:45" x14ac:dyDescent="0.25">
      <c r="C15" s="1" t="s">
        <v>37</v>
      </c>
      <c r="D15" s="2">
        <v>-0.156</v>
      </c>
      <c r="E15" s="1">
        <v>-0.245</v>
      </c>
      <c r="F15" s="1">
        <v>-0.22500000000000001</v>
      </c>
      <c r="G15" s="1">
        <v>-0.46100000000000002</v>
      </c>
      <c r="H15" s="1">
        <v>-0.157</v>
      </c>
      <c r="I15" s="1">
        <v>-0.30499999999999999</v>
      </c>
      <c r="J15" s="1">
        <v>4.1000000000000002E-2</v>
      </c>
      <c r="K15" s="1">
        <v>-0.245</v>
      </c>
      <c r="L15" s="1">
        <v>-3.1E-2</v>
      </c>
      <c r="M15" s="1">
        <v>-0.19900000000000001</v>
      </c>
      <c r="N15" s="1">
        <v>-0.121</v>
      </c>
      <c r="O15" s="1">
        <v>-2.327</v>
      </c>
      <c r="P15" s="1">
        <v>-9.2999999999999999E-2</v>
      </c>
      <c r="Q15" s="1">
        <v>-0.39400000000000002</v>
      </c>
      <c r="R15" s="1">
        <v>-0.83599999999999997</v>
      </c>
      <c r="S15" s="1">
        <v>0.42</v>
      </c>
      <c r="T15" s="1">
        <v>0.47099999999999997</v>
      </c>
      <c r="U15" s="1">
        <v>0.17499999999999999</v>
      </c>
      <c r="V15" s="1">
        <v>0.04</v>
      </c>
    </row>
    <row r="16" spans="1:45" x14ac:dyDescent="0.25">
      <c r="C16" s="3" t="s">
        <v>38</v>
      </c>
      <c r="D16" s="1">
        <f t="shared" ref="D16:U16" si="3">D13+D14+D15</f>
        <v>-58.767999999999994</v>
      </c>
      <c r="E16" s="1">
        <f t="shared" si="3"/>
        <v>-66.802000000000007</v>
      </c>
      <c r="F16" s="1">
        <f t="shared" si="3"/>
        <v>-64.897000000000006</v>
      </c>
      <c r="G16" s="1">
        <f t="shared" si="3"/>
        <v>-56.578000000000003</v>
      </c>
      <c r="H16" s="1">
        <f t="shared" si="3"/>
        <v>-45.881999999999998</v>
      </c>
      <c r="I16" s="1">
        <f t="shared" si="3"/>
        <v>-59.673999999999999</v>
      </c>
      <c r="J16" s="1">
        <f t="shared" si="3"/>
        <v>-44.680999999999997</v>
      </c>
      <c r="K16" s="1">
        <f t="shared" si="3"/>
        <v>-42.966000000000001</v>
      </c>
      <c r="L16" s="1">
        <f t="shared" si="3"/>
        <v>-42.888000000000005</v>
      </c>
      <c r="M16" s="1">
        <f t="shared" si="3"/>
        <v>-45.146999999999991</v>
      </c>
      <c r="N16" s="1">
        <f t="shared" si="3"/>
        <v>-40.450000000000003</v>
      </c>
      <c r="O16" s="1">
        <f t="shared" si="3"/>
        <v>-34.751000000000005</v>
      </c>
      <c r="P16" s="1">
        <f t="shared" si="3"/>
        <v>-31.497000000000003</v>
      </c>
      <c r="Q16" s="1">
        <f t="shared" si="3"/>
        <v>-39.152999999999992</v>
      </c>
      <c r="R16" s="1">
        <f t="shared" si="3"/>
        <v>-28.265999999999995</v>
      </c>
      <c r="S16" s="1">
        <f t="shared" si="3"/>
        <v>-26.881999999999994</v>
      </c>
      <c r="T16" s="1">
        <f t="shared" si="3"/>
        <v>-30.254000000000005</v>
      </c>
      <c r="U16" s="1">
        <f t="shared" si="3"/>
        <v>-36.772999999999996</v>
      </c>
      <c r="V16" s="1">
        <f>V13+V14+V15</f>
        <v>-34.739999999999995</v>
      </c>
    </row>
    <row r="17" spans="3:22" x14ac:dyDescent="0.25">
      <c r="C17" s="1" t="s">
        <v>39</v>
      </c>
      <c r="D17" s="2">
        <v>10.404999999999999</v>
      </c>
      <c r="E17" s="1">
        <v>0.14899999999999999</v>
      </c>
      <c r="F17" s="1">
        <v>0.14899999999999999</v>
      </c>
      <c r="G17" s="1">
        <v>-0.29199999999999998</v>
      </c>
      <c r="H17" s="1">
        <v>-7.5999999999999998E-2</v>
      </c>
      <c r="I17" s="1">
        <v>-0.67600000000000005</v>
      </c>
      <c r="J17" s="1">
        <v>-0.622</v>
      </c>
      <c r="K17" s="1">
        <v>0.221</v>
      </c>
      <c r="L17" s="1">
        <v>-0.12</v>
      </c>
      <c r="M17" s="1">
        <v>-0.34499999999999997</v>
      </c>
      <c r="N17" s="1">
        <v>-0.191</v>
      </c>
      <c r="O17" s="1">
        <v>9.6000000000000002E-2</v>
      </c>
      <c r="P17" s="1">
        <v>-9.7000000000000003E-2</v>
      </c>
      <c r="Q17" s="1">
        <v>-0.17499999999999999</v>
      </c>
      <c r="R17" s="1">
        <v>-0.191</v>
      </c>
      <c r="S17" s="1">
        <v>-0.25600000000000001</v>
      </c>
      <c r="T17" s="1">
        <v>-0.253</v>
      </c>
      <c r="U17" s="1">
        <v>-4.2999999999999997E-2</v>
      </c>
      <c r="V17" s="1">
        <v>-0.311</v>
      </c>
    </row>
    <row r="18" spans="3:22" x14ac:dyDescent="0.25">
      <c r="C18" s="3" t="s">
        <v>41</v>
      </c>
      <c r="D18" s="1">
        <f t="shared" ref="D18:U18" si="4">D17+D16</f>
        <v>-48.362999999999992</v>
      </c>
      <c r="E18" s="1">
        <f t="shared" si="4"/>
        <v>-66.653000000000006</v>
      </c>
      <c r="F18" s="1">
        <f t="shared" si="4"/>
        <v>-64.748000000000005</v>
      </c>
      <c r="G18" s="1">
        <f t="shared" si="4"/>
        <v>-56.870000000000005</v>
      </c>
      <c r="H18" s="1">
        <f t="shared" si="4"/>
        <v>-45.957999999999998</v>
      </c>
      <c r="I18" s="1">
        <f t="shared" si="4"/>
        <v>-60.35</v>
      </c>
      <c r="J18" s="1">
        <f t="shared" si="4"/>
        <v>-45.302999999999997</v>
      </c>
      <c r="K18" s="1">
        <f t="shared" si="4"/>
        <v>-42.745000000000005</v>
      </c>
      <c r="L18" s="1">
        <f t="shared" si="4"/>
        <v>-43.008000000000003</v>
      </c>
      <c r="M18" s="1">
        <f t="shared" si="4"/>
        <v>-45.49199999999999</v>
      </c>
      <c r="N18" s="1">
        <f t="shared" si="4"/>
        <v>-40.641000000000005</v>
      </c>
      <c r="O18" s="1">
        <f t="shared" si="4"/>
        <v>-34.655000000000008</v>
      </c>
      <c r="P18" s="1">
        <f t="shared" si="4"/>
        <v>-31.594000000000005</v>
      </c>
      <c r="Q18" s="1">
        <f t="shared" si="4"/>
        <v>-39.327999999999989</v>
      </c>
      <c r="R18" s="1">
        <f t="shared" si="4"/>
        <v>-28.456999999999994</v>
      </c>
      <c r="S18" s="1">
        <f t="shared" si="4"/>
        <v>-27.137999999999995</v>
      </c>
      <c r="T18" s="1">
        <f t="shared" si="4"/>
        <v>-30.507000000000005</v>
      </c>
      <c r="U18" s="1">
        <f t="shared" si="4"/>
        <v>-36.815999999999995</v>
      </c>
      <c r="V18" s="1">
        <f>V17+V16</f>
        <v>-35.050999999999995</v>
      </c>
    </row>
    <row r="19" spans="3:22" x14ac:dyDescent="0.25">
      <c r="C19" s="3"/>
      <c r="D19" s="1"/>
    </row>
    <row r="20" spans="3:22" x14ac:dyDescent="0.25">
      <c r="C20" s="3" t="s">
        <v>42</v>
      </c>
      <c r="D20" s="1">
        <f t="shared" ref="D20:V20" si="5">D18/D21</f>
        <v>-0.96896537906715807</v>
      </c>
      <c r="E20" s="1">
        <f t="shared" si="5"/>
        <v>-1.2465028426092162</v>
      </c>
      <c r="F20" s="1">
        <f t="shared" si="5"/>
        <v>-1.1503189013448933</v>
      </c>
      <c r="G20" s="1">
        <f t="shared" si="5"/>
        <v>-1.0107167611566283</v>
      </c>
      <c r="H20" s="1">
        <f t="shared" si="5"/>
        <v>-0.81422294663737504</v>
      </c>
      <c r="I20" s="1">
        <f t="shared" si="5"/>
        <v>-1.0629304119625904</v>
      </c>
      <c r="J20" s="1">
        <f t="shared" si="5"/>
        <v>-0.79421819393068138</v>
      </c>
      <c r="K20" s="1">
        <f t="shared" si="5"/>
        <v>-0.74625953665392208</v>
      </c>
      <c r="L20" s="1">
        <f t="shared" si="5"/>
        <v>-0.74800424369967133</v>
      </c>
      <c r="M20" s="1">
        <f t="shared" si="5"/>
        <v>-0.7873448830890114</v>
      </c>
      <c r="N20" s="1">
        <f t="shared" si="5"/>
        <v>-0.69895949780720623</v>
      </c>
      <c r="O20" s="1">
        <f t="shared" si="5"/>
        <v>-0.59184684223110307</v>
      </c>
      <c r="P20" s="1">
        <f t="shared" si="5"/>
        <v>-0.53402521889050414</v>
      </c>
      <c r="Q20" s="1">
        <f t="shared" si="5"/>
        <v>-0.65932371037234472</v>
      </c>
      <c r="R20" s="1">
        <f t="shared" si="5"/>
        <v>-0.465257340919495</v>
      </c>
      <c r="S20" s="1">
        <f t="shared" si="5"/>
        <v>-0.44912617502978941</v>
      </c>
      <c r="T20" s="1">
        <f t="shared" si="5"/>
        <v>-0.4994597249508842</v>
      </c>
      <c r="U20" s="1">
        <f t="shared" si="5"/>
        <v>-0.59667433794690605</v>
      </c>
      <c r="V20" s="1">
        <f t="shared" si="5"/>
        <v>-0.56168773937150451</v>
      </c>
    </row>
    <row r="21" spans="3:22" x14ac:dyDescent="0.25">
      <c r="C21" s="1" t="s">
        <v>43</v>
      </c>
      <c r="D21" s="2">
        <v>49.911999999999999</v>
      </c>
      <c r="E21" s="1">
        <v>53.472000000000001</v>
      </c>
      <c r="F21" s="1">
        <v>56.286999999999999</v>
      </c>
      <c r="G21" s="1">
        <v>56.267000000000003</v>
      </c>
      <c r="H21" s="1">
        <v>56.444000000000003</v>
      </c>
      <c r="I21" s="1">
        <v>56.777000000000001</v>
      </c>
      <c r="J21" s="1">
        <v>57.040999999999997</v>
      </c>
      <c r="K21" s="1">
        <v>57.279000000000003</v>
      </c>
      <c r="L21" s="1">
        <v>57.497</v>
      </c>
      <c r="M21" s="1">
        <v>57.779000000000003</v>
      </c>
      <c r="N21" s="1">
        <v>58.145000000000003</v>
      </c>
      <c r="O21" s="1">
        <v>58.554000000000002</v>
      </c>
      <c r="P21" s="1">
        <v>59.161999999999999</v>
      </c>
      <c r="Q21" s="1">
        <v>59.649000000000001</v>
      </c>
      <c r="R21" s="1">
        <v>61.164000000000001</v>
      </c>
      <c r="S21" s="1">
        <v>60.423999999999999</v>
      </c>
      <c r="T21" s="1">
        <v>61.08</v>
      </c>
      <c r="U21" s="1">
        <v>61.701999999999998</v>
      </c>
      <c r="V21" s="1">
        <v>62.402999999999999</v>
      </c>
    </row>
    <row r="24" spans="3:22" x14ac:dyDescent="0.25">
      <c r="C24" s="11" t="s">
        <v>54</v>
      </c>
      <c r="D24" s="2" t="s">
        <v>55</v>
      </c>
      <c r="H24" s="12">
        <f>(H6-D6)/H6</f>
        <v>0.22537470272661911</v>
      </c>
      <c r="I24" s="12">
        <f t="shared" ref="I24:V24" si="6">(I6-E6)/I6</f>
        <v>0.20028248587570616</v>
      </c>
      <c r="J24" s="12">
        <f t="shared" si="6"/>
        <v>0.11965798556636338</v>
      </c>
      <c r="K24" s="12">
        <f t="shared" si="6"/>
        <v>0.14399665401965764</v>
      </c>
      <c r="L24" s="12">
        <f t="shared" si="6"/>
        <v>0.24133542196984534</v>
      </c>
      <c r="M24" s="12">
        <f t="shared" si="6"/>
        <v>0.20081803936150441</v>
      </c>
      <c r="N24" s="12">
        <f t="shared" si="6"/>
        <v>0.21756849651379748</v>
      </c>
      <c r="O24" s="12">
        <f t="shared" si="6"/>
        <v>0.20970369495927277</v>
      </c>
      <c r="P24" s="12">
        <f t="shared" si="6"/>
        <v>0.19405273184313448</v>
      </c>
      <c r="Q24" s="12">
        <f t="shared" si="6"/>
        <v>0.18849482180767943</v>
      </c>
      <c r="R24" s="12">
        <f t="shared" si="6"/>
        <v>0.1519202140395807</v>
      </c>
      <c r="S24" s="12">
        <f t="shared" si="6"/>
        <v>0.1444212142330496</v>
      </c>
      <c r="T24" s="12">
        <f t="shared" si="6"/>
        <v>0.14450616212463113</v>
      </c>
      <c r="U24" s="12">
        <f t="shared" si="6"/>
        <v>0.16187508467687303</v>
      </c>
      <c r="V24" s="12">
        <f t="shared" si="6"/>
        <v>0.18854328580117594</v>
      </c>
    </row>
    <row r="25" spans="3:22" x14ac:dyDescent="0.25">
      <c r="C25" s="11" t="s">
        <v>52</v>
      </c>
      <c r="D25" s="12">
        <f t="shared" ref="D25:H25" si="7">D12/D6</f>
        <v>0.35608548717216432</v>
      </c>
      <c r="E25" s="12">
        <f t="shared" si="7"/>
        <v>0.38259189228499602</v>
      </c>
      <c r="F25" s="12">
        <f t="shared" si="7"/>
        <v>0.4480067007645287</v>
      </c>
      <c r="G25" s="12">
        <f t="shared" si="7"/>
        <v>0.44881862283181517</v>
      </c>
      <c r="H25" s="12">
        <f>H12/H6</f>
        <v>0.45722028648857921</v>
      </c>
      <c r="I25" s="12">
        <f t="shared" ref="I25:V25" si="8">I12/I6</f>
        <v>0.30759388501163182</v>
      </c>
      <c r="J25" s="12">
        <f t="shared" si="8"/>
        <v>0.3435048635080013</v>
      </c>
      <c r="K25" s="12">
        <f t="shared" si="8"/>
        <v>0.36629522301556477</v>
      </c>
      <c r="L25" s="12">
        <f t="shared" si="8"/>
        <v>0.40507426781168704</v>
      </c>
      <c r="M25" s="12">
        <f t="shared" si="8"/>
        <v>0.41010862925287511</v>
      </c>
      <c r="N25" s="12">
        <f t="shared" si="8"/>
        <v>0.43296425414907203</v>
      </c>
      <c r="O25" s="12">
        <f t="shared" si="8"/>
        <v>0.45133986542320859</v>
      </c>
      <c r="P25" s="12">
        <f t="shared" si="8"/>
        <v>0.48290554935578778</v>
      </c>
      <c r="Q25" s="12">
        <f t="shared" si="8"/>
        <v>0.4960287952755057</v>
      </c>
      <c r="R25" s="12">
        <f t="shared" si="8"/>
        <v>0.53402667166369966</v>
      </c>
      <c r="S25" s="12">
        <f t="shared" si="8"/>
        <v>0.51345837247118953</v>
      </c>
      <c r="T25" s="12">
        <f t="shared" si="8"/>
        <v>0.52047291172443055</v>
      </c>
      <c r="U25" s="12">
        <f t="shared" si="8"/>
        <v>0.51593731653344166</v>
      </c>
      <c r="V25" s="12">
        <f t="shared" si="8"/>
        <v>0.52759005203757525</v>
      </c>
    </row>
    <row r="26" spans="3:22" s="13" customFormat="1" x14ac:dyDescent="0.25">
      <c r="C26" s="13" t="s">
        <v>53</v>
      </c>
      <c r="D26" s="14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</row>
    <row r="27" spans="3:22" x14ac:dyDescent="0.25">
      <c r="C27" s="11"/>
    </row>
    <row r="28" spans="3:22" x14ac:dyDescent="0.25">
      <c r="C28" s="11"/>
    </row>
    <row r="29" spans="3:22" x14ac:dyDescent="0.25">
      <c r="C29" s="11"/>
    </row>
    <row r="30" spans="3:22" x14ac:dyDescent="0.25">
      <c r="C30" s="11"/>
    </row>
    <row r="31" spans="3:22" x14ac:dyDescent="0.25">
      <c r="C31" s="11"/>
    </row>
    <row r="32" spans="3:22" x14ac:dyDescent="0.25">
      <c r="C32" s="11"/>
    </row>
    <row r="33" spans="3:3" x14ac:dyDescent="0.25">
      <c r="C33" s="11"/>
    </row>
    <row r="34" spans="3:3" x14ac:dyDescent="0.25">
      <c r="C34" s="11"/>
    </row>
    <row r="35" spans="3:3" x14ac:dyDescent="0.25">
      <c r="C35" s="11"/>
    </row>
    <row r="36" spans="3:3" x14ac:dyDescent="0.25">
      <c r="C36" s="11"/>
    </row>
    <row r="37" spans="3:3" x14ac:dyDescent="0.25">
      <c r="C37" s="11"/>
    </row>
    <row r="38" spans="3:3" x14ac:dyDescent="0.25">
      <c r="C38" s="11"/>
    </row>
    <row r="39" spans="3:3" x14ac:dyDescent="0.25">
      <c r="C39" s="11"/>
    </row>
    <row r="40" spans="3:3" x14ac:dyDescent="0.25">
      <c r="C40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zerr</dc:creator>
  <cp:lastModifiedBy>robin zerr</cp:lastModifiedBy>
  <dcterms:created xsi:type="dcterms:W3CDTF">2026-08-11T02:53:58Z</dcterms:created>
  <dcterms:modified xsi:type="dcterms:W3CDTF">2026-08-12T02:12:32Z</dcterms:modified>
</cp:coreProperties>
</file>